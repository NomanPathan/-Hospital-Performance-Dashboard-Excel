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a5147b24a3b358e6/Desktop/"/>
    </mc:Choice>
  </mc:AlternateContent>
  <xr:revisionPtr revIDLastSave="37" documentId="13_ncr:1_{C4C4559A-F71C-43EF-A9CB-B970FE5D35A3}" xr6:coauthVersionLast="47" xr6:coauthVersionMax="47" xr10:uidLastSave="{9C90837B-6CB0-45FB-97A9-19531E0261C7}"/>
  <bookViews>
    <workbookView xWindow="-108" yWindow="-108" windowWidth="23256" windowHeight="12456" activeTab="2" xr2:uid="{6E3FA6E6-7799-4655-9AE9-157D7D765757}"/>
  </bookViews>
  <sheets>
    <sheet name="Sheet3" sheetId="7" r:id="rId1"/>
    <sheet name="Pivot Report" sheetId="1" r:id="rId2"/>
    <sheet name="DashBoard" sheetId="2" r:id="rId3"/>
    <sheet name="Daily No.Patient" sheetId="3" r:id="rId4"/>
    <sheet name="Satisfaction Score" sheetId="6" r:id="rId5"/>
    <sheet name="Average wait time" sheetId="5" r:id="rId6"/>
  </sheets>
  <definedNames>
    <definedName name="ExternalData_1" localSheetId="0" hidden="1">Sheet3!$A$3:$M$64</definedName>
    <definedName name="Slicer_Date__Month">#N/A</definedName>
  </definedNames>
  <calcPr calcId="191029"/>
  <pivotCaches>
    <pivotCache cacheId="444" r:id="rId7"/>
    <pivotCache cacheId="447" r:id="rId8"/>
    <pivotCache cacheId="450" r:id="rId9"/>
    <pivotCache cacheId="453" r:id="rId10"/>
    <pivotCache cacheId="456" r:id="rId11"/>
    <pivotCache cacheId="459" r:id="rId12"/>
    <pivotCache cacheId="462" r:id="rId13"/>
    <pivotCache cacheId="465" r:id="rId14"/>
    <pivotCache cacheId="471" r:id="rId15"/>
    <pivotCache cacheId="474" r:id="rId16"/>
    <pivotCache cacheId="477" r:id="rId17"/>
    <pivotCache cacheId="480"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dataset_datetime_1a8bc117-e741-40e9-9fe0-1f453f09fed5" name="hospital_dataset_datetime" connection="Query - hospital_dataset_datetime"/>
          <x15:modelTable id="Calendar_Table_4f67ae0a-180b-434f-bd4f-e8d8f5684fb6" name="Calendar_Table" connection="Query - Calendar_Table"/>
        </x15:modelTables>
        <x15:modelRelationships>
          <x15:modelRelationship fromTable="hospital_dataset_datetime"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1" l="1"/>
  <c r="A50" i="1"/>
  <c r="B50" i="1"/>
  <c r="C50" i="1"/>
  <c r="B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8E80F0-B2C2-4827-AAD1-B37D8EE3E806}" keepAlive="1" name="ModelConnection_ExternalData_1" description="Data Model" type="5" refreshedVersion="8" minRefreshableVersion="5" saveData="1">
    <dbPr connection="Data Model Connection" command="DRILLTHROUGH MAXROWS 1000 SELECT FROM [Model] WHERE (([Calendar_Table].[Date (Month)].&amp;[Mar],[Measures].[Count of Department Referral],[hospital_dataset_datetime].[Department Referral].&amp;[Cardiology])) RETURN [$hospital_dataset_datetime].[Patient Id.1],[$hospital_dataset_datetime].[Merged],[$hospital_dataset_datetime].[Patient Gender],[$hospital_dataset_datetime].[Patient Age],[$hospital_dataset_datetime].[Patient Race],[$hospital_dataset_datetime].[Patient Admission Date],[$hospital_dataset_datetime].[Patient Admission Time],[$hospital_dataset_datetime].[Patient Admission Flag],[$hospital_dataset_datetime].[Department Referral],[$hospital_dataset_datetime].[Patient Waittime],[$hospital_dataset_datetime].[Patient Satisfaction Score],[$hospital_dataset_datetime].[Age Group],[$hospital_dataset_datetime].[Calculated Column 1]" commandType="4"/>
    <extLst>
      <ext xmlns:x15="http://schemas.microsoft.com/office/spreadsheetml/2010/11/main" uri="{DE250136-89BD-433C-8126-D09CA5730AF9}">
        <x15:connection id="" model="1"/>
      </ext>
    </extLst>
  </connection>
  <connection id="2" xr16:uid="{DDF162F4-48FA-4E2F-9EAF-426809E28755}" name="Query - Calendar_Table" description="Connection to the 'Calendar_Table' query in the workbook." type="100" refreshedVersion="8" minRefreshableVersion="5">
    <extLst>
      <ext xmlns:x15="http://schemas.microsoft.com/office/spreadsheetml/2010/11/main" uri="{DE250136-89BD-433C-8126-D09CA5730AF9}">
        <x15:connection id="3a0e3f2a-d9f4-4d3a-a642-71370d7342a3"/>
      </ext>
    </extLst>
  </connection>
  <connection id="3" xr16:uid="{23B903E1-9F66-458D-8CB9-C48FB2D7BC5B}" name="Query - hospital_dataset_datetime" description="Connection to the 'hospital_dataset_datetime' query in the workbook." type="100" refreshedVersion="8" minRefreshableVersion="5">
    <extLst>
      <ext xmlns:x15="http://schemas.microsoft.com/office/spreadsheetml/2010/11/main" uri="{DE250136-89BD-433C-8126-D09CA5730AF9}">
        <x15:connection id="f757c637-dfcd-4d2e-8f74-36e7fb8d1cfc"/>
      </ext>
    </extLst>
  </connection>
  <connection id="4" xr16:uid="{5603809E-C379-4E23-A87D-ECF1BA4DBD2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<sst xmlns="http://schemas.openxmlformats.org/spreadsheetml/2006/main" count="655" uniqueCount="155">
  <si>
    <t>Count of Patient Id.1</t>
  </si>
  <si>
    <t>Average of Patient Waittime</t>
  </si>
  <si>
    <t>Average of Patient Satisfaction Score</t>
  </si>
  <si>
    <t>Row Labels</t>
  </si>
  <si>
    <t>Grand Total</t>
  </si>
  <si>
    <t>No.of patient</t>
  </si>
  <si>
    <t>Waittime</t>
  </si>
  <si>
    <t>hospital_dataset_datetime[Patient Id.1]</t>
  </si>
  <si>
    <t>hospital_dataset_datetime[Merged]</t>
  </si>
  <si>
    <t>hospital_dataset_datetime[Patient Age]</t>
  </si>
  <si>
    <t>hospital_dataset_datetime[Patient Race]</t>
  </si>
  <si>
    <t>hospital_dataset_datetime[Patient Admission Date]</t>
  </si>
  <si>
    <t>hospital_dataset_datetime[Patient Admission Time]</t>
  </si>
  <si>
    <t>hospital_dataset_datetime[Patient Admission Flag]</t>
  </si>
  <si>
    <t>hospital_dataset_datetime[Department Referral]</t>
  </si>
  <si>
    <t>hospital_dataset_datetime[Patient Waittime]</t>
  </si>
  <si>
    <t>hospital_dataset_datetime[Patient Satisfaction Score]</t>
  </si>
  <si>
    <t>hospital_dataset_datetime[Age Group]</t>
  </si>
  <si>
    <t>hospital_dataset_datetime[Calculated Column 1]</t>
  </si>
  <si>
    <t>P3000</t>
  </si>
  <si>
    <t>Female</t>
  </si>
  <si>
    <t>Middle Eastern</t>
  </si>
  <si>
    <t>Not Admitted</t>
  </si>
  <si>
    <t>Oncology</t>
  </si>
  <si>
    <t>40-49</t>
  </si>
  <si>
    <t>Delay</t>
  </si>
  <si>
    <t>Male</t>
  </si>
  <si>
    <t>Pediatrics</t>
  </si>
  <si>
    <t>50-59</t>
  </si>
  <si>
    <t>OnTime</t>
  </si>
  <si>
    <t>T. Gupta</t>
  </si>
  <si>
    <t>European</t>
  </si>
  <si>
    <t>Orthopedics</t>
  </si>
  <si>
    <t>African</t>
  </si>
  <si>
    <t>Admitted</t>
  </si>
  <si>
    <t>Emergency</t>
  </si>
  <si>
    <t>60-69</t>
  </si>
  <si>
    <t>Y. Yadav</t>
  </si>
  <si>
    <t>Hispanic</t>
  </si>
  <si>
    <t>Cardiology</t>
  </si>
  <si>
    <t>70-79</t>
  </si>
  <si>
    <t>S. Malik</t>
  </si>
  <si>
    <t>30-39</t>
  </si>
  <si>
    <t>H. Khan</t>
  </si>
  <si>
    <t>Indian</t>
  </si>
  <si>
    <t>Neurology</t>
  </si>
  <si>
    <t>V. Tiwari</t>
  </si>
  <si>
    <t>Dermatology</t>
  </si>
  <si>
    <t>Asian</t>
  </si>
  <si>
    <t>N. Reddy</t>
  </si>
  <si>
    <t>Satisfaction Score</t>
  </si>
  <si>
    <t>Count of Patient Admission Flag</t>
  </si>
  <si>
    <t>Count of Patient Admission Flag2</t>
  </si>
  <si>
    <t>Admission Status</t>
  </si>
  <si>
    <t>Patient</t>
  </si>
  <si>
    <t>Total %</t>
  </si>
  <si>
    <t>10-19</t>
  </si>
  <si>
    <t>20-29</t>
  </si>
  <si>
    <t>Count of Age Group</t>
  </si>
  <si>
    <t>Age group analysis</t>
  </si>
  <si>
    <t>No.Patient by department R</t>
  </si>
  <si>
    <t>Count of Department Referral</t>
  </si>
  <si>
    <t>Count of Calculated Column 1</t>
  </si>
  <si>
    <t>waiting Time</t>
  </si>
  <si>
    <t>Count of Patient Gender</t>
  </si>
  <si>
    <t>Status %</t>
  </si>
  <si>
    <t>Patient Gender wise</t>
  </si>
  <si>
    <t>Patient Referrals</t>
  </si>
  <si>
    <t>W. Singh</t>
  </si>
  <si>
    <t>Q. Sharma</t>
  </si>
  <si>
    <t>Z. Iyer</t>
  </si>
  <si>
    <t>X. Bansal</t>
  </si>
  <si>
    <t>D. Verma</t>
  </si>
  <si>
    <t>V. Yadav</t>
  </si>
  <si>
    <t>S. Patel</t>
  </si>
  <si>
    <t>X. Chopra</t>
  </si>
  <si>
    <t>T. Mehta</t>
  </si>
  <si>
    <t>D. Gupta</t>
  </si>
  <si>
    <t>M. Iyer</t>
  </si>
  <si>
    <t>L. Das</t>
  </si>
  <si>
    <t>A. Mehta</t>
  </si>
  <si>
    <t>Y. Verma</t>
  </si>
  <si>
    <t>K. Reddy</t>
  </si>
  <si>
    <t>E. Bansal</t>
  </si>
  <si>
    <t>B. Malik</t>
  </si>
  <si>
    <t>I. Bansal</t>
  </si>
  <si>
    <t>A. Bansal</t>
  </si>
  <si>
    <t>N. Yadav</t>
  </si>
  <si>
    <t>I. Singh</t>
  </si>
  <si>
    <t>J. Khan</t>
  </si>
  <si>
    <t>L. Mehta</t>
  </si>
  <si>
    <t>V. Mehta</t>
  </si>
  <si>
    <t>Y. Saxena</t>
  </si>
  <si>
    <t>J. Tiwari</t>
  </si>
  <si>
    <t>C. Patel</t>
  </si>
  <si>
    <t>X. Yadav</t>
  </si>
  <si>
    <t>P. Ali</t>
  </si>
  <si>
    <t>I. Sharma</t>
  </si>
  <si>
    <t>F. Sharma</t>
  </si>
  <si>
    <t>I. Roy</t>
  </si>
  <si>
    <t>X. Sharma</t>
  </si>
  <si>
    <t>J. Roy</t>
  </si>
  <si>
    <t>E. Nair</t>
  </si>
  <si>
    <t>T. Singh</t>
  </si>
  <si>
    <t>Z. Tiwari</t>
  </si>
  <si>
    <t>K. Bansal</t>
  </si>
  <si>
    <t>I. Ali</t>
  </si>
  <si>
    <t>L. Roy</t>
  </si>
  <si>
    <t>Z. Ali</t>
  </si>
  <si>
    <t>O. Sharma</t>
  </si>
  <si>
    <t>R. Roy</t>
  </si>
  <si>
    <t>W. Roy</t>
  </si>
  <si>
    <t>V. Iyer</t>
  </si>
  <si>
    <t>M. Mehta</t>
  </si>
  <si>
    <t>J. Chopra</t>
  </si>
  <si>
    <t>I. Verma</t>
  </si>
  <si>
    <t>O. Patel</t>
  </si>
  <si>
    <t>G. Chopra</t>
  </si>
  <si>
    <t>P. Nair</t>
  </si>
  <si>
    <t>H. Roy</t>
  </si>
  <si>
    <t>L. Verma</t>
  </si>
  <si>
    <t>O. Singh</t>
  </si>
  <si>
    <t>Data returned for Count of Department Referral, Cardiology, Mar (First 1000 rows).</t>
  </si>
  <si>
    <t>hospital_[Patient Gender]</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</si>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</sst>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3" tint="0.39997558519241921"/>
        <bgColor indexed="64"/>
      </patternFill>
    </fill>
  </fills>
  <borders count="2">
    <border>
      <left/>
      <right/>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14" fontId="0" fillId="0" borderId="0" xfId="0" applyNumberFormat="1"/>
    <xf numFmtId="21" fontId="0" fillId="0" borderId="0" xfId="0" applyNumberFormat="1"/>
    <xf numFmtId="0" fontId="1" fillId="0" borderId="0" xfId="0" applyFont="1"/>
    <xf numFmtId="10" fontId="0" fillId="0" borderId="0" xfId="0" applyNumberFormat="1"/>
    <xf numFmtId="1" fontId="0" fillId="0" borderId="0" xfId="0" applyNumberFormat="1"/>
    <xf numFmtId="2" fontId="0" fillId="0" borderId="1" xfId="0" applyNumberFormat="1" applyBorder="1"/>
    <xf numFmtId="0" fontId="0" fillId="3" borderId="0" xfId="0" applyFill="1" applyAlignment="1">
      <alignment horizontal="center" vertical="center"/>
    </xf>
    <xf numFmtId="0" fontId="0" fillId="3" borderId="0" xfId="0" applyFill="1"/>
    <xf numFmtId="164" fontId="0" fillId="3" borderId="0" xfId="1" applyNumberFormat="1" applyFont="1" applyFill="1" applyAlignment="1">
      <alignment horizontal="center" vertical="center"/>
    </xf>
    <xf numFmtId="0" fontId="4" fillId="0" borderId="0" xfId="0" applyFont="1"/>
    <xf numFmtId="0" fontId="5" fillId="0" borderId="0" xfId="0" applyFont="1"/>
    <xf numFmtId="0" fontId="4" fillId="4" borderId="0" xfId="0" applyFont="1" applyFill="1"/>
    <xf numFmtId="0" fontId="0" fillId="0" borderId="0" xfId="0" applyNumberFormat="1"/>
  </cellXfs>
  <cellStyles count="2">
    <cellStyle name="Normal" xfId="0" builtinId="0"/>
    <cellStyle name="Percent" xfId="1" builtinId="5"/>
  </cellStyles>
  <dxfs count="200">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1" formatCode="0"/>
    </dxf>
    <dxf>
      <numFmt numFmtId="2" formatCode="0.00"/>
    </dxf>
    <dxf>
      <numFmt numFmtId="2" formatCode="0.00"/>
    </dxf>
    <dxf>
      <numFmt numFmtId="2" formatCode="0.00"/>
    </dxf>
    <dxf>
      <numFmt numFmtId="2" formatCode="0.00"/>
    </dxf>
    <dxf>
      <numFmt numFmtId="26" formatCode="h:mm:ss"/>
    </dxf>
    <dxf>
      <numFmt numFmtId="19" formatCode="m/d/yyyy"/>
    </dxf>
    <dxf>
      <font>
        <b/>
        <color theme="1"/>
      </font>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sz val="8"/>
        <color theme="1"/>
        <name val="ADLaM Display"/>
        <scheme val="none"/>
      </font>
      <fill>
        <patternFill>
          <bgColor theme="0" tint="-4.9989318521683403E-2"/>
        </patternFill>
      </fill>
      <border diagonalUp="0" diagonalDown="0">
        <left/>
        <right/>
        <top/>
        <bottom/>
        <vertical/>
        <horizontal/>
      </border>
    </dxf>
  </dxfs>
  <tableStyles count="2" defaultTableStyle="TableStyleMedium2" defaultPivotStyle="PivotStyleLight16">
    <tableStyle name="KHAN" pivot="0" table="0" count="10" xr9:uid="{DC43C2B4-A071-4DA1-A13E-ED50987B829F}">
      <tableStyleElement type="wholeTable" dxfId="199"/>
      <tableStyleElement type="headerRow" dxfId="198"/>
    </tableStyle>
    <tableStyle name="Noman" pivot="0" table="0" count="10" xr9:uid="{C7C53C96-B744-4F65-8016-AD5F6FBD3000}">
      <tableStyleElement type="wholeTable" dxfId="197"/>
      <tableStyleElement type="headerRow" dxfId="19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KHA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oma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7/06/relationships/rdRichValue" Target="richData/rdrichvalue.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Types" Target="richData/rdRichValueTyp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Report!PivotTable7</c:name>
    <c:fmtId val="0"/>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8508161521869344"/>
                  <c:h val="0.40270563657726532"/>
                </c:manualLayout>
              </c15:layout>
              <c15:showDataLabelsRange val="1"/>
            </c:ext>
          </c:extLst>
        </c:dLbl>
      </c:pivotFmt>
      <c:pivotFmt>
        <c:idx val="3"/>
        <c:spPr>
          <a:solidFill>
            <a:schemeClr val="accent1">
              <a:lumMod val="50000"/>
            </a:schemeClr>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4351300573777732"/>
                  <c:h val="0.40270563657726532"/>
                </c:manualLayout>
              </c15:layout>
              <c15:showDataLabelsRange val="1"/>
            </c:ext>
          </c:extLst>
        </c:dLbl>
      </c:pivotFmt>
    </c:pivotFmts>
    <c:plotArea>
      <c:layout>
        <c:manualLayout>
          <c:layoutTarget val="inner"/>
          <c:xMode val="edge"/>
          <c:yMode val="edge"/>
          <c:x val="5.1668277536067703E-2"/>
          <c:y val="0.21902014890982682"/>
          <c:w val="0.5005868233806835"/>
          <c:h val="0.56489454032043684"/>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lumMod val="50000"/>
              </a:schemeClr>
            </a:solidFill>
            <a:ln>
              <a:noFill/>
            </a:ln>
            <a:effectLst/>
          </c:spPr>
          <c:invertIfNegative val="0"/>
          <c:dPt>
            <c:idx val="0"/>
            <c:invertIfNegative val="0"/>
            <c:bubble3D val="0"/>
            <c:extLst>
              <c:ext xmlns:c16="http://schemas.microsoft.com/office/drawing/2014/chart" uri="{C3380CC4-5D6E-409C-BE32-E72D297353CC}">
                <c16:uniqueId val="{00000000-5EE6-4AFD-9E2A-7A6CAF708C79}"/>
              </c:ext>
            </c:extLst>
          </c:dPt>
          <c:dPt>
            <c:idx val="1"/>
            <c:invertIfNegative val="0"/>
            <c:bubble3D val="0"/>
            <c:extLst>
              <c:ext xmlns:c16="http://schemas.microsoft.com/office/drawing/2014/chart" uri="{C3380CC4-5D6E-409C-BE32-E72D297353CC}">
                <c16:uniqueId val="{00000001-5EE6-4AFD-9E2A-7A6CAF708C79}"/>
              </c:ext>
            </c:extLst>
          </c:dPt>
          <c:dLbls>
            <c:dLbl>
              <c:idx val="0"/>
              <c:showLegendKey val="0"/>
              <c:showVal val="0"/>
              <c:showCatName val="0"/>
              <c:showSerName val="0"/>
              <c:showPercent val="0"/>
              <c:showBubbleSize val="0"/>
              <c:extLst>
                <c:ext xmlns:c15="http://schemas.microsoft.com/office/drawing/2012/chart" uri="{CE6537A1-D6FC-4f65-9D91-7224C49458BB}">
                  <c15:layout>
                    <c:manualLayout>
                      <c:w val="0.34351300573777732"/>
                      <c:h val="0.40270563657726532"/>
                    </c:manualLayout>
                  </c15:layout>
                  <c15:showDataLabelsRange val="1"/>
                </c:ext>
                <c:ext xmlns:c16="http://schemas.microsoft.com/office/drawing/2014/chart" uri="{C3380CC4-5D6E-409C-BE32-E72D297353CC}">
                  <c16:uniqueId val="{00000000-5EE6-4AFD-9E2A-7A6CAF708C79}"/>
                </c:ext>
              </c:extLst>
            </c:dLbl>
            <c:dLbl>
              <c:idx val="1"/>
              <c:showLegendKey val="0"/>
              <c:showVal val="0"/>
              <c:showCatName val="0"/>
              <c:showSerName val="0"/>
              <c:showPercent val="0"/>
              <c:showBubbleSize val="0"/>
              <c:extLst>
                <c:ext xmlns:c15="http://schemas.microsoft.com/office/drawing/2012/chart" uri="{CE6537A1-D6FC-4f65-9D91-7224C49458BB}">
                  <c15:layout>
                    <c:manualLayout>
                      <c:w val="0.38508161521869344"/>
                      <c:h val="0.40270563657726532"/>
                    </c:manualLayout>
                  </c15:layout>
                  <c15:showDataLabelsRange val="1"/>
                </c:ext>
                <c:ext xmlns:c16="http://schemas.microsoft.com/office/drawing/2014/chart" uri="{C3380CC4-5D6E-409C-BE32-E72D297353CC}">
                  <c16:uniqueId val="{00000001-5EE6-4AFD-9E2A-7A6CAF708C79}"/>
                </c:ext>
              </c:extLst>
            </c:dLbl>
            <c:spPr>
              <a:no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0.00</c:formatCode>
                <c:ptCount val="2"/>
                <c:pt idx="0">
                  <c:v>160</c:v>
                </c:pt>
                <c:pt idx="1">
                  <c:v>162</c:v>
                </c:pt>
              </c:numCache>
            </c:numRef>
          </c:val>
          <c:extLst>
            <c:ext xmlns:c16="http://schemas.microsoft.com/office/drawing/2014/chart" uri="{C3380CC4-5D6E-409C-BE32-E72D297353CC}">
              <c16:uniqueId val="{0000000B-434B-4298-8831-D44C1CA37581}"/>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0.49689440993788819</c:v>
                </c:pt>
                <c:pt idx="1">
                  <c:v>0.50310559006211175</c:v>
                </c:pt>
              </c:numCache>
            </c:numRef>
          </c:val>
          <c:extLst>
            <c:ext xmlns:c16="http://schemas.microsoft.com/office/drawing/2014/chart" uri="{C3380CC4-5D6E-409C-BE32-E72D297353CC}">
              <c16:uniqueId val="{0000000C-434B-4298-8831-D44C1CA37581}"/>
            </c:ext>
          </c:extLst>
        </c:ser>
        <c:dLbls>
          <c:showLegendKey val="0"/>
          <c:showVal val="0"/>
          <c:showCatName val="0"/>
          <c:showSerName val="0"/>
          <c:showPercent val="0"/>
          <c:showBubbleSize val="0"/>
        </c:dLbls>
        <c:gapWidth val="0"/>
        <c:overlap val="70"/>
        <c:axId val="1153227040"/>
        <c:axId val="482999824"/>
      </c:barChart>
      <c:catAx>
        <c:axId val="1153227040"/>
        <c:scaling>
          <c:orientation val="minMax"/>
        </c:scaling>
        <c:delete val="1"/>
        <c:axPos val="l"/>
        <c:numFmt formatCode="General" sourceLinked="1"/>
        <c:majorTickMark val="none"/>
        <c:minorTickMark val="none"/>
        <c:tickLblPos val="nextTo"/>
        <c:crossAx val="482999824"/>
        <c:crosses val="autoZero"/>
        <c:auto val="1"/>
        <c:lblAlgn val="ctr"/>
        <c:lblOffset val="100"/>
        <c:noMultiLvlLbl val="0"/>
      </c:catAx>
      <c:valAx>
        <c:axId val="482999824"/>
        <c:scaling>
          <c:orientation val="minMax"/>
        </c:scaling>
        <c:delete val="1"/>
        <c:axPos val="b"/>
        <c:numFmt formatCode="0.00" sourceLinked="1"/>
        <c:majorTickMark val="none"/>
        <c:minorTickMark val="none"/>
        <c:tickLblPos val="nextTo"/>
        <c:crossAx val="115322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436617997188067"/>
          <c:w val="0.95492749232124896"/>
          <c:h val="0.73188398115857034"/>
        </c:manualLayout>
      </c:layout>
      <c:areaChart>
        <c:grouping val="standard"/>
        <c:varyColors val="0"/>
        <c:ser>
          <c:idx val="0"/>
          <c:order val="0"/>
          <c:tx>
            <c:strRef>
              <c:f>'Pivot Report'!$G$2</c:f>
              <c:strCache>
                <c:ptCount val="1"/>
                <c:pt idx="0">
                  <c:v>Total</c:v>
                </c:pt>
              </c:strCache>
            </c:strRef>
          </c:tx>
          <c:spPr>
            <a:solidFill>
              <a:schemeClr val="accent1">
                <a:lumMod val="50000"/>
              </a:schemeClr>
            </a:solidFill>
            <a:ln w="6350" cap="flat" cmpd="sng" algn="ctr">
              <a:solidFill>
                <a:schemeClr val="accent6"/>
              </a:solidFill>
              <a:prstDash val="solid"/>
              <a:miter lim="800000"/>
            </a:ln>
            <a:effectLst/>
          </c:spPr>
          <c:cat>
            <c:strRef>
              <c:f>'Pivot Report'!$F$3:$F$34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Report'!$G$3:$G$34</c:f>
              <c:numCache>
                <c:formatCode>General</c:formatCode>
                <c:ptCount val="31"/>
                <c:pt idx="0">
                  <c:v>15</c:v>
                </c:pt>
                <c:pt idx="1">
                  <c:v>14</c:v>
                </c:pt>
                <c:pt idx="2">
                  <c:v>14</c:v>
                </c:pt>
                <c:pt idx="3">
                  <c:v>9</c:v>
                </c:pt>
                <c:pt idx="4">
                  <c:v>9</c:v>
                </c:pt>
                <c:pt idx="5">
                  <c:v>5</c:v>
                </c:pt>
                <c:pt idx="6">
                  <c:v>8</c:v>
                </c:pt>
                <c:pt idx="7">
                  <c:v>16</c:v>
                </c:pt>
                <c:pt idx="8">
                  <c:v>11</c:v>
                </c:pt>
                <c:pt idx="9">
                  <c:v>12</c:v>
                </c:pt>
                <c:pt idx="10">
                  <c:v>11</c:v>
                </c:pt>
                <c:pt idx="11">
                  <c:v>15</c:v>
                </c:pt>
                <c:pt idx="12">
                  <c:v>8</c:v>
                </c:pt>
                <c:pt idx="13">
                  <c:v>9</c:v>
                </c:pt>
                <c:pt idx="14">
                  <c:v>12</c:v>
                </c:pt>
                <c:pt idx="15">
                  <c:v>8</c:v>
                </c:pt>
                <c:pt idx="16">
                  <c:v>12</c:v>
                </c:pt>
                <c:pt idx="17">
                  <c:v>10</c:v>
                </c:pt>
                <c:pt idx="18">
                  <c:v>12</c:v>
                </c:pt>
                <c:pt idx="19">
                  <c:v>5</c:v>
                </c:pt>
                <c:pt idx="20">
                  <c:v>9</c:v>
                </c:pt>
                <c:pt idx="21">
                  <c:v>12</c:v>
                </c:pt>
                <c:pt idx="22">
                  <c:v>9</c:v>
                </c:pt>
                <c:pt idx="23">
                  <c:v>7</c:v>
                </c:pt>
                <c:pt idx="24">
                  <c:v>14</c:v>
                </c:pt>
                <c:pt idx="25">
                  <c:v>15</c:v>
                </c:pt>
                <c:pt idx="26">
                  <c:v>4</c:v>
                </c:pt>
                <c:pt idx="27">
                  <c:v>10</c:v>
                </c:pt>
                <c:pt idx="28">
                  <c:v>5</c:v>
                </c:pt>
                <c:pt idx="29">
                  <c:v>11</c:v>
                </c:pt>
                <c:pt idx="30">
                  <c:v>11</c:v>
                </c:pt>
              </c:numCache>
            </c:numRef>
          </c:val>
          <c:extLst>
            <c:ext xmlns:c16="http://schemas.microsoft.com/office/drawing/2014/chart" uri="{C3380CC4-5D6E-409C-BE32-E72D297353CC}">
              <c16:uniqueId val="{00000005-8E76-49F8-AACE-691C7B6054BB}"/>
            </c:ext>
          </c:extLst>
        </c:ser>
        <c:dLbls>
          <c:showLegendKey val="0"/>
          <c:showVal val="0"/>
          <c:showCatName val="0"/>
          <c:showSerName val="0"/>
          <c:showPercent val="0"/>
          <c:showBubbleSize val="0"/>
        </c:dLbls>
        <c:axId val="1575723471"/>
        <c:axId val="2064590479"/>
      </c:areaChart>
      <c:catAx>
        <c:axId val="1575723471"/>
        <c:scaling>
          <c:orientation val="minMax"/>
        </c:scaling>
        <c:delete val="1"/>
        <c:axPos val="b"/>
        <c:numFmt formatCode="General" sourceLinked="1"/>
        <c:majorTickMark val="out"/>
        <c:minorTickMark val="none"/>
        <c:tickLblPos val="nextTo"/>
        <c:crossAx val="2064590479"/>
        <c:crosses val="autoZero"/>
        <c:auto val="1"/>
        <c:lblAlgn val="ctr"/>
        <c:lblOffset val="100"/>
        <c:noMultiLvlLbl val="0"/>
      </c:catAx>
      <c:valAx>
        <c:axId val="2064590479"/>
        <c:scaling>
          <c:orientation val="minMax"/>
        </c:scaling>
        <c:delete val="1"/>
        <c:axPos val="l"/>
        <c:numFmt formatCode="General" sourceLinked="1"/>
        <c:majorTickMark val="none"/>
        <c:minorTickMark val="none"/>
        <c:tickLblPos val="nextTo"/>
        <c:crossAx val="157572347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2700" cap="flat" cmpd="sng" algn="ctr">
            <a:solidFill>
              <a:schemeClr val="accent1">
                <a:shade val="15000"/>
              </a:schemeClr>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9915809197877648E-3"/>
          <c:w val="1"/>
          <c:h val="0.96302521660817997"/>
        </c:manualLayout>
      </c:layout>
      <c:areaChart>
        <c:grouping val="standard"/>
        <c:varyColors val="0"/>
        <c:ser>
          <c:idx val="0"/>
          <c:order val="0"/>
          <c:tx>
            <c:strRef>
              <c:f>'Pivot Report'!$J$3</c:f>
              <c:strCache>
                <c:ptCount val="1"/>
                <c:pt idx="0">
                  <c:v>Total</c:v>
                </c:pt>
              </c:strCache>
            </c:strRef>
          </c:tx>
          <c:spPr>
            <a:solidFill>
              <a:schemeClr val="accent1">
                <a:lumMod val="50000"/>
              </a:schemeClr>
            </a:solidFill>
            <a:ln w="12700" cap="flat" cmpd="sng" algn="ctr">
              <a:solidFill>
                <a:schemeClr val="accent1">
                  <a:shade val="15000"/>
                </a:schemeClr>
              </a:solidFill>
              <a:prstDash val="solid"/>
              <a:miter lim="800000"/>
            </a:ln>
            <a:effectLst/>
          </c:spPr>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68.599999999999994</c:v>
                </c:pt>
                <c:pt idx="1">
                  <c:v>60.142857142857146</c:v>
                </c:pt>
                <c:pt idx="2">
                  <c:v>67.214285714285708</c:v>
                </c:pt>
                <c:pt idx="3">
                  <c:v>76.111111111111114</c:v>
                </c:pt>
                <c:pt idx="4">
                  <c:v>58.444444444444443</c:v>
                </c:pt>
                <c:pt idx="5">
                  <c:v>61.8</c:v>
                </c:pt>
                <c:pt idx="6">
                  <c:v>34</c:v>
                </c:pt>
                <c:pt idx="7">
                  <c:v>67.5625</c:v>
                </c:pt>
                <c:pt idx="8">
                  <c:v>60.090909090909093</c:v>
                </c:pt>
                <c:pt idx="9">
                  <c:v>56.5</c:v>
                </c:pt>
                <c:pt idx="10">
                  <c:v>60.090909090909093</c:v>
                </c:pt>
                <c:pt idx="11">
                  <c:v>49.866666666666667</c:v>
                </c:pt>
                <c:pt idx="12">
                  <c:v>76.875</c:v>
                </c:pt>
                <c:pt idx="13">
                  <c:v>69.777777777777771</c:v>
                </c:pt>
                <c:pt idx="14">
                  <c:v>63.25</c:v>
                </c:pt>
                <c:pt idx="15">
                  <c:v>80.125</c:v>
                </c:pt>
                <c:pt idx="16">
                  <c:v>62.416666666666664</c:v>
                </c:pt>
                <c:pt idx="17">
                  <c:v>72.099999999999994</c:v>
                </c:pt>
                <c:pt idx="18">
                  <c:v>59.166666666666664</c:v>
                </c:pt>
                <c:pt idx="19">
                  <c:v>40.799999999999997</c:v>
                </c:pt>
                <c:pt idx="20">
                  <c:v>56.777777777777779</c:v>
                </c:pt>
                <c:pt idx="21">
                  <c:v>61.833333333333336</c:v>
                </c:pt>
                <c:pt idx="22">
                  <c:v>67.444444444444443</c:v>
                </c:pt>
                <c:pt idx="23">
                  <c:v>65.857142857142861</c:v>
                </c:pt>
                <c:pt idx="24">
                  <c:v>75.214285714285708</c:v>
                </c:pt>
                <c:pt idx="25">
                  <c:v>49.133333333333333</c:v>
                </c:pt>
                <c:pt idx="26">
                  <c:v>90.5</c:v>
                </c:pt>
                <c:pt idx="27">
                  <c:v>58.5</c:v>
                </c:pt>
                <c:pt idx="28">
                  <c:v>77.8</c:v>
                </c:pt>
                <c:pt idx="29">
                  <c:v>49.727272727272727</c:v>
                </c:pt>
                <c:pt idx="30">
                  <c:v>46.363636363636367</c:v>
                </c:pt>
              </c:numCache>
            </c:numRef>
          </c:val>
          <c:extLst>
            <c:ext xmlns:c16="http://schemas.microsoft.com/office/drawing/2014/chart" uri="{C3380CC4-5D6E-409C-BE32-E72D297353CC}">
              <c16:uniqueId val="{00000005-8214-4F78-8137-FEC355513225}"/>
            </c:ext>
          </c:extLst>
        </c:ser>
        <c:dLbls>
          <c:showLegendKey val="0"/>
          <c:showVal val="0"/>
          <c:showCatName val="0"/>
          <c:showSerName val="0"/>
          <c:showPercent val="0"/>
          <c:showBubbleSize val="0"/>
        </c:dLbls>
        <c:axId val="1575786111"/>
        <c:axId val="2064555919"/>
      </c:areaChart>
      <c:catAx>
        <c:axId val="1575786111"/>
        <c:scaling>
          <c:orientation val="minMax"/>
        </c:scaling>
        <c:delete val="1"/>
        <c:axPos val="b"/>
        <c:numFmt formatCode="General" sourceLinked="1"/>
        <c:majorTickMark val="out"/>
        <c:minorTickMark val="none"/>
        <c:tickLblPos val="nextTo"/>
        <c:crossAx val="2064555919"/>
        <c:crosses val="autoZero"/>
        <c:auto val="1"/>
        <c:lblAlgn val="ctr"/>
        <c:lblOffset val="100"/>
        <c:noMultiLvlLbl val="0"/>
      </c:catAx>
      <c:valAx>
        <c:axId val="2064555919"/>
        <c:scaling>
          <c:orientation val="minMax"/>
        </c:scaling>
        <c:delete val="1"/>
        <c:axPos val="l"/>
        <c:numFmt formatCode="0.00" sourceLinked="1"/>
        <c:majorTickMark val="none"/>
        <c:minorTickMark val="none"/>
        <c:tickLblPos val="nextTo"/>
        <c:crossAx val="157578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759144574337E-3"/>
          <c:y val="2.2422636361256663E-2"/>
          <c:w val="0.99722222222222223"/>
          <c:h val="0.97222222222222221"/>
        </c:manualLayout>
      </c:layout>
      <c:areaChart>
        <c:grouping val="standard"/>
        <c:varyColors val="0"/>
        <c:ser>
          <c:idx val="0"/>
          <c:order val="0"/>
          <c:tx>
            <c:strRef>
              <c:f>'Pivot Report'!$M$4</c:f>
              <c:strCache>
                <c:ptCount val="1"/>
                <c:pt idx="0">
                  <c:v>Total</c:v>
                </c:pt>
              </c:strCache>
            </c:strRef>
          </c:tx>
          <c:spPr>
            <a:solidFill>
              <a:schemeClr val="accent1">
                <a:lumMod val="50000"/>
              </a:schemeClr>
            </a:solidFill>
            <a:ln w="25400">
              <a:noFill/>
            </a:ln>
            <a:effectLst/>
          </c:spPr>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3.3333333333333335</c:v>
                </c:pt>
                <c:pt idx="1">
                  <c:v>3</c:v>
                </c:pt>
                <c:pt idx="2">
                  <c:v>3.1428571428571428</c:v>
                </c:pt>
                <c:pt idx="3">
                  <c:v>3.1111111111111112</c:v>
                </c:pt>
                <c:pt idx="4">
                  <c:v>2.8888888888888888</c:v>
                </c:pt>
                <c:pt idx="5">
                  <c:v>3</c:v>
                </c:pt>
                <c:pt idx="6">
                  <c:v>3.5</c:v>
                </c:pt>
                <c:pt idx="7">
                  <c:v>3.3125</c:v>
                </c:pt>
                <c:pt idx="8">
                  <c:v>2.8181818181818183</c:v>
                </c:pt>
                <c:pt idx="9">
                  <c:v>3.0833333333333335</c:v>
                </c:pt>
                <c:pt idx="10">
                  <c:v>2.3636363636363638</c:v>
                </c:pt>
                <c:pt idx="11">
                  <c:v>3.2666666666666666</c:v>
                </c:pt>
                <c:pt idx="12">
                  <c:v>2.625</c:v>
                </c:pt>
                <c:pt idx="13">
                  <c:v>3.1111111111111112</c:v>
                </c:pt>
                <c:pt idx="14">
                  <c:v>3.25</c:v>
                </c:pt>
                <c:pt idx="15">
                  <c:v>2.75</c:v>
                </c:pt>
                <c:pt idx="16">
                  <c:v>2.6666666666666665</c:v>
                </c:pt>
                <c:pt idx="17">
                  <c:v>3.4</c:v>
                </c:pt>
                <c:pt idx="18">
                  <c:v>3.6666666666666665</c:v>
                </c:pt>
                <c:pt idx="19">
                  <c:v>1.4</c:v>
                </c:pt>
                <c:pt idx="20">
                  <c:v>2.7777777777777777</c:v>
                </c:pt>
                <c:pt idx="21">
                  <c:v>3.0833333333333335</c:v>
                </c:pt>
                <c:pt idx="22">
                  <c:v>2.8888888888888888</c:v>
                </c:pt>
                <c:pt idx="23">
                  <c:v>3.1428571428571428</c:v>
                </c:pt>
                <c:pt idx="24">
                  <c:v>2.9285714285714284</c:v>
                </c:pt>
                <c:pt idx="25">
                  <c:v>3.2</c:v>
                </c:pt>
                <c:pt idx="26">
                  <c:v>3</c:v>
                </c:pt>
                <c:pt idx="27">
                  <c:v>3.6</c:v>
                </c:pt>
                <c:pt idx="28">
                  <c:v>3</c:v>
                </c:pt>
                <c:pt idx="29">
                  <c:v>2.2727272727272729</c:v>
                </c:pt>
                <c:pt idx="30">
                  <c:v>2.3636363636363638</c:v>
                </c:pt>
              </c:numCache>
            </c:numRef>
          </c:val>
          <c:extLst>
            <c:ext xmlns:c16="http://schemas.microsoft.com/office/drawing/2014/chart" uri="{C3380CC4-5D6E-409C-BE32-E72D297353CC}">
              <c16:uniqueId val="{00000006-86FA-44C7-93F8-7B5B7564CFE2}"/>
            </c:ext>
          </c:extLst>
        </c:ser>
        <c:dLbls>
          <c:showLegendKey val="0"/>
          <c:showVal val="0"/>
          <c:showCatName val="0"/>
          <c:showSerName val="0"/>
          <c:showPercent val="0"/>
          <c:showBubbleSize val="0"/>
        </c:dLbls>
        <c:axId val="1026114416"/>
        <c:axId val="482995504"/>
      </c:areaChart>
      <c:catAx>
        <c:axId val="1026114416"/>
        <c:scaling>
          <c:orientation val="minMax"/>
        </c:scaling>
        <c:delete val="1"/>
        <c:axPos val="b"/>
        <c:numFmt formatCode="General" sourceLinked="1"/>
        <c:majorTickMark val="out"/>
        <c:minorTickMark val="none"/>
        <c:tickLblPos val="nextTo"/>
        <c:crossAx val="482995504"/>
        <c:crosses val="autoZero"/>
        <c:auto val="1"/>
        <c:lblAlgn val="ctr"/>
        <c:lblOffset val="100"/>
        <c:noMultiLvlLbl val="0"/>
      </c:catAx>
      <c:valAx>
        <c:axId val="482995504"/>
        <c:scaling>
          <c:orientation val="minMax"/>
        </c:scaling>
        <c:delete val="1"/>
        <c:axPos val="l"/>
        <c:numFmt formatCode="0.00" sourceLinked="1"/>
        <c:majorTickMark val="none"/>
        <c:minorTickMark val="none"/>
        <c:tickLblPos val="nextTo"/>
        <c:crossAx val="1026114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94792656981E-2"/>
          <c:y val="7.4253427826179746E-2"/>
          <c:w val="0.96388888888888891"/>
          <c:h val="0.75683610236741261"/>
        </c:manualLayout>
      </c:layout>
      <c:barChart>
        <c:barDir val="col"/>
        <c:grouping val="clustered"/>
        <c:varyColors val="0"/>
        <c:ser>
          <c:idx val="0"/>
          <c:order val="0"/>
          <c:tx>
            <c:strRef>
              <c:f>'Pivot Report'!$G$40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Report'!$F$41:$F$48</c:f>
              <c:strCache>
                <c:ptCount val="7"/>
                <c:pt idx="0">
                  <c:v>10-19</c:v>
                </c:pt>
                <c:pt idx="1">
                  <c:v>20-29</c:v>
                </c:pt>
                <c:pt idx="2">
                  <c:v>30-39</c:v>
                </c:pt>
                <c:pt idx="3">
                  <c:v>40-49</c:v>
                </c:pt>
                <c:pt idx="4">
                  <c:v>50-59</c:v>
                </c:pt>
                <c:pt idx="5">
                  <c:v>60-69</c:v>
                </c:pt>
                <c:pt idx="6">
                  <c:v>70-79</c:v>
                </c:pt>
              </c:strCache>
            </c:strRef>
          </c:cat>
          <c:val>
            <c:numRef>
              <c:f>'Pivot Report'!$G$41:$G$48</c:f>
              <c:numCache>
                <c:formatCode>0</c:formatCode>
                <c:ptCount val="7"/>
                <c:pt idx="0">
                  <c:v>12</c:v>
                </c:pt>
                <c:pt idx="1">
                  <c:v>50</c:v>
                </c:pt>
                <c:pt idx="2">
                  <c:v>49</c:v>
                </c:pt>
                <c:pt idx="3">
                  <c:v>42</c:v>
                </c:pt>
                <c:pt idx="4">
                  <c:v>54</c:v>
                </c:pt>
                <c:pt idx="5">
                  <c:v>58</c:v>
                </c:pt>
                <c:pt idx="6">
                  <c:v>57</c:v>
                </c:pt>
              </c:numCache>
            </c:numRef>
          </c:val>
          <c:extLst>
            <c:ext xmlns:c16="http://schemas.microsoft.com/office/drawing/2014/chart" uri="{C3380CC4-5D6E-409C-BE32-E72D297353CC}">
              <c16:uniqueId val="{00000004-6A88-44FD-B1BA-FE5C09BDBD38}"/>
            </c:ext>
          </c:extLst>
        </c:ser>
        <c:dLbls>
          <c:showLegendKey val="0"/>
          <c:showVal val="0"/>
          <c:showCatName val="0"/>
          <c:showSerName val="0"/>
          <c:showPercent val="0"/>
          <c:showBubbleSize val="0"/>
        </c:dLbls>
        <c:gapWidth val="219"/>
        <c:overlap val="-27"/>
        <c:axId val="399505376"/>
        <c:axId val="483020944"/>
      </c:barChart>
      <c:catAx>
        <c:axId val="399505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83020944"/>
        <c:crosses val="autoZero"/>
        <c:auto val="1"/>
        <c:lblAlgn val="ctr"/>
        <c:lblOffset val="100"/>
        <c:noMultiLvlLbl val="0"/>
      </c:catAx>
      <c:valAx>
        <c:axId val="483020944"/>
        <c:scaling>
          <c:orientation val="minMax"/>
        </c:scaling>
        <c:delete val="1"/>
        <c:axPos val="l"/>
        <c:numFmt formatCode="0" sourceLinked="1"/>
        <c:majorTickMark val="out"/>
        <c:minorTickMark val="none"/>
        <c:tickLblPos val="nextTo"/>
        <c:crossAx val="39950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Report!PivotTable11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0.22262416822625264"/>
              <c:y val="-0.1550109185743939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a:noFill/>
          </a:ln>
          <a:effectLst>
            <a:outerShdw blurRad="57150" dist="19050" dir="5400000" algn="ctr" rotWithShape="0">
              <a:srgbClr val="000000">
                <a:alpha val="63000"/>
              </a:srgbClr>
            </a:outerShdw>
          </a:effectLst>
        </c:spPr>
        <c:dLbl>
          <c:idx val="0"/>
          <c:layout>
            <c:manualLayout>
              <c:x val="0.16298394594592491"/>
              <c:y val="0.12810456408591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52082178550826"/>
          <c:y val="0"/>
          <c:w val="0.58791635585401925"/>
          <c:h val="1"/>
        </c:manualLayout>
      </c:layout>
      <c:pieChart>
        <c:varyColors val="1"/>
        <c:ser>
          <c:idx val="0"/>
          <c:order val="0"/>
          <c:tx>
            <c:strRef>
              <c:f>'Pivot Report'!$J$40</c:f>
              <c:strCache>
                <c:ptCount val="1"/>
                <c:pt idx="0">
                  <c:v>Total</c:v>
                </c:pt>
              </c:strCache>
            </c:strRef>
          </c:tx>
          <c:dPt>
            <c:idx val="0"/>
            <c:bubble3D val="0"/>
            <c:spPr>
              <a:solidFill>
                <a:schemeClr val="accent1">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15-48F0-803F-C832125018D9}"/>
              </c:ext>
            </c:extLst>
          </c:dPt>
          <c:dPt>
            <c:idx val="1"/>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15-48F0-803F-C832125018D9}"/>
              </c:ext>
            </c:extLst>
          </c:dPt>
          <c:dLbls>
            <c:dLbl>
              <c:idx val="0"/>
              <c:layout>
                <c:manualLayout>
                  <c:x val="-0.22262416822625264"/>
                  <c:y val="-0.1550109185743939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15-48F0-803F-C832125018D9}"/>
                </c:ext>
              </c:extLst>
            </c:dLbl>
            <c:dLbl>
              <c:idx val="1"/>
              <c:layout>
                <c:manualLayout>
                  <c:x val="0.16298394594592491"/>
                  <c:y val="0.1281045640859142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15-48F0-803F-C832125018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Report'!$I$41:$I$43</c:f>
              <c:strCache>
                <c:ptCount val="2"/>
                <c:pt idx="0">
                  <c:v>Delay</c:v>
                </c:pt>
                <c:pt idx="1">
                  <c:v>OnTime</c:v>
                </c:pt>
              </c:strCache>
            </c:strRef>
          </c:cat>
          <c:val>
            <c:numRef>
              <c:f>'Pivot Report'!$J$41:$J$43</c:f>
              <c:numCache>
                <c:formatCode>0.00</c:formatCode>
                <c:ptCount val="2"/>
                <c:pt idx="0">
                  <c:v>225</c:v>
                </c:pt>
                <c:pt idx="1">
                  <c:v>97</c:v>
                </c:pt>
              </c:numCache>
            </c:numRef>
          </c:val>
          <c:extLst>
            <c:ext xmlns:c16="http://schemas.microsoft.com/office/drawing/2014/chart" uri="{C3380CC4-5D6E-409C-BE32-E72D297353CC}">
              <c16:uniqueId val="{00000007-DEB1-412F-AE6A-AB20F7E3C5F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2366898593968"/>
          <c:y val="0.32058191863054575"/>
          <c:w val="0.23299324023176349"/>
          <c:h val="0.4624277570801271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Report!PivotTable12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lumMod val="5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317500" algn="ctr" rotWithShape="0">
              <a:prstClr val="black">
                <a:alpha val="25000"/>
              </a:prstClr>
            </a:outerShdw>
          </a:effectLst>
        </c:spPr>
      </c:pivotFmt>
      <c:pivotFmt>
        <c:idx val="6"/>
        <c:spPr>
          <a:solidFill>
            <a:schemeClr val="accent4">
              <a:lumMod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2141822654119325"/>
          <c:y val="0"/>
          <c:w val="0.63636669720467776"/>
          <c:h val="1"/>
        </c:manualLayout>
      </c:layout>
      <c:doughnutChart>
        <c:varyColors val="1"/>
        <c:ser>
          <c:idx val="0"/>
          <c:order val="0"/>
          <c:tx>
            <c:strRef>
              <c:f>'Pivot Report'!$B$31</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F63-48C7-8A1D-1BA50B36BBE0}"/>
              </c:ext>
            </c:extLst>
          </c:dPt>
          <c:dPt>
            <c:idx val="1"/>
            <c:bubble3D val="0"/>
            <c:spPr>
              <a:solidFill>
                <a:schemeClr val="accent4">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F63-48C7-8A1D-1BA50B36BBE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Report'!$A$32:$A$34</c:f>
              <c:strCache>
                <c:ptCount val="2"/>
                <c:pt idx="0">
                  <c:v>Female</c:v>
                </c:pt>
                <c:pt idx="1">
                  <c:v>Male</c:v>
                </c:pt>
              </c:strCache>
            </c:strRef>
          </c:cat>
          <c:val>
            <c:numRef>
              <c:f>'Pivot Report'!$B$32:$B$34</c:f>
              <c:numCache>
                <c:formatCode>0.00</c:formatCode>
                <c:ptCount val="2"/>
                <c:pt idx="0">
                  <c:v>159</c:v>
                </c:pt>
                <c:pt idx="1">
                  <c:v>163</c:v>
                </c:pt>
              </c:numCache>
            </c:numRef>
          </c:val>
          <c:extLst>
            <c:ext xmlns:c16="http://schemas.microsoft.com/office/drawing/2014/chart" uri="{C3380CC4-5D6E-409C-BE32-E72D297353CC}">
              <c16:uniqueId val="{00000007-94A7-4CB8-A8A6-9E80A917CFDB}"/>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73659994714583998"/>
          <c:y val="0.30902657957581015"/>
          <c:w val="0.20041433127088748"/>
          <c:h val="0.5041691700017735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Report!PivotTable13</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708018096819"/>
          <c:y val="4.811932206043909E-2"/>
          <c:w val="0.80323498904153956"/>
          <c:h val="0.94761903779884493"/>
        </c:manualLayout>
      </c:layout>
      <c:barChart>
        <c:barDir val="bar"/>
        <c:grouping val="clustered"/>
        <c:varyColors val="0"/>
        <c:ser>
          <c:idx val="0"/>
          <c:order val="0"/>
          <c:tx>
            <c:strRef>
              <c:f>'Pivot Report'!$J$48</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Report'!$I$49:$I$56</c:f>
              <c:strCache>
                <c:ptCount val="7"/>
                <c:pt idx="0">
                  <c:v>Emergency</c:v>
                </c:pt>
                <c:pt idx="1">
                  <c:v>Neurology</c:v>
                </c:pt>
                <c:pt idx="2">
                  <c:v>Dermatology</c:v>
                </c:pt>
                <c:pt idx="3">
                  <c:v>Cardiology</c:v>
                </c:pt>
                <c:pt idx="4">
                  <c:v>Orthopedics</c:v>
                </c:pt>
                <c:pt idx="5">
                  <c:v>Oncology</c:v>
                </c:pt>
                <c:pt idx="6">
                  <c:v>Pediatrics</c:v>
                </c:pt>
              </c:strCache>
            </c:strRef>
          </c:cat>
          <c:val>
            <c:numRef>
              <c:f>'Pivot Report'!$J$49:$J$56</c:f>
              <c:numCache>
                <c:formatCode>0</c:formatCode>
                <c:ptCount val="7"/>
                <c:pt idx="0">
                  <c:v>54</c:v>
                </c:pt>
                <c:pt idx="1">
                  <c:v>51</c:v>
                </c:pt>
                <c:pt idx="2">
                  <c:v>47</c:v>
                </c:pt>
                <c:pt idx="3">
                  <c:v>47</c:v>
                </c:pt>
                <c:pt idx="4">
                  <c:v>45</c:v>
                </c:pt>
                <c:pt idx="5">
                  <c:v>43</c:v>
                </c:pt>
                <c:pt idx="6">
                  <c:v>35</c:v>
                </c:pt>
              </c:numCache>
            </c:numRef>
          </c:val>
          <c:extLst>
            <c:ext xmlns:c16="http://schemas.microsoft.com/office/drawing/2014/chart" uri="{C3380CC4-5D6E-409C-BE32-E72D297353CC}">
              <c16:uniqueId val="{00000003-1DFE-4FCF-8A93-D7E3E9BE4BC9}"/>
            </c:ext>
          </c:extLst>
        </c:ser>
        <c:dLbls>
          <c:showLegendKey val="0"/>
          <c:showVal val="0"/>
          <c:showCatName val="0"/>
          <c:showSerName val="0"/>
          <c:showPercent val="0"/>
          <c:showBubbleSize val="0"/>
        </c:dLbls>
        <c:gapWidth val="89"/>
        <c:axId val="1346076064"/>
        <c:axId val="1736937104"/>
      </c:barChart>
      <c:catAx>
        <c:axId val="1346076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36937104"/>
        <c:crosses val="autoZero"/>
        <c:auto val="1"/>
        <c:lblAlgn val="ctr"/>
        <c:lblOffset val="100"/>
        <c:noMultiLvlLbl val="0"/>
      </c:catAx>
      <c:valAx>
        <c:axId val="1736937104"/>
        <c:scaling>
          <c:orientation val="minMax"/>
        </c:scaling>
        <c:delete val="1"/>
        <c:axPos val="b"/>
        <c:numFmt formatCode="0" sourceLinked="1"/>
        <c:majorTickMark val="none"/>
        <c:minorTickMark val="none"/>
        <c:tickLblPos val="nextTo"/>
        <c:crossAx val="134607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880840168735648E-2"/>
          <c:y val="0.26436617997188067"/>
          <c:w val="0.92770833333333325"/>
          <c:h val="0.73188398115857034"/>
        </c:manualLayout>
      </c:layout>
      <c:areaChart>
        <c:grouping val="standard"/>
        <c:varyColors val="0"/>
        <c:ser>
          <c:idx val="0"/>
          <c:order val="0"/>
          <c:tx>
            <c:strRef>
              <c:f>'Pivot Report'!$G$2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Report'!$F$3:$F$34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Report'!$G$3:$G$34</c:f>
              <c:numCache>
                <c:formatCode>General</c:formatCode>
                <c:ptCount val="31"/>
                <c:pt idx="0">
                  <c:v>15</c:v>
                </c:pt>
                <c:pt idx="1">
                  <c:v>14</c:v>
                </c:pt>
                <c:pt idx="2">
                  <c:v>14</c:v>
                </c:pt>
                <c:pt idx="3">
                  <c:v>9</c:v>
                </c:pt>
                <c:pt idx="4">
                  <c:v>9</c:v>
                </c:pt>
                <c:pt idx="5">
                  <c:v>5</c:v>
                </c:pt>
                <c:pt idx="6">
                  <c:v>8</c:v>
                </c:pt>
                <c:pt idx="7">
                  <c:v>16</c:v>
                </c:pt>
                <c:pt idx="8">
                  <c:v>11</c:v>
                </c:pt>
                <c:pt idx="9">
                  <c:v>12</c:v>
                </c:pt>
                <c:pt idx="10">
                  <c:v>11</c:v>
                </c:pt>
                <c:pt idx="11">
                  <c:v>15</c:v>
                </c:pt>
                <c:pt idx="12">
                  <c:v>8</c:v>
                </c:pt>
                <c:pt idx="13">
                  <c:v>9</c:v>
                </c:pt>
                <c:pt idx="14">
                  <c:v>12</c:v>
                </c:pt>
                <c:pt idx="15">
                  <c:v>8</c:v>
                </c:pt>
                <c:pt idx="16">
                  <c:v>12</c:v>
                </c:pt>
                <c:pt idx="17">
                  <c:v>10</c:v>
                </c:pt>
                <c:pt idx="18">
                  <c:v>12</c:v>
                </c:pt>
                <c:pt idx="19">
                  <c:v>5</c:v>
                </c:pt>
                <c:pt idx="20">
                  <c:v>9</c:v>
                </c:pt>
                <c:pt idx="21">
                  <c:v>12</c:v>
                </c:pt>
                <c:pt idx="22">
                  <c:v>9</c:v>
                </c:pt>
                <c:pt idx="23">
                  <c:v>7</c:v>
                </c:pt>
                <c:pt idx="24">
                  <c:v>14</c:v>
                </c:pt>
                <c:pt idx="25">
                  <c:v>15</c:v>
                </c:pt>
                <c:pt idx="26">
                  <c:v>4</c:v>
                </c:pt>
                <c:pt idx="27">
                  <c:v>10</c:v>
                </c:pt>
                <c:pt idx="28">
                  <c:v>5</c:v>
                </c:pt>
                <c:pt idx="29">
                  <c:v>11</c:v>
                </c:pt>
                <c:pt idx="30">
                  <c:v>11</c:v>
                </c:pt>
              </c:numCache>
            </c:numRef>
          </c:val>
          <c:extLst>
            <c:ext xmlns:c16="http://schemas.microsoft.com/office/drawing/2014/chart" uri="{C3380CC4-5D6E-409C-BE32-E72D297353CC}">
              <c16:uniqueId val="{00000005-A590-4E33-BF2C-8B5187E93BE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5723471"/>
        <c:axId val="2064590479"/>
      </c:areaChart>
      <c:catAx>
        <c:axId val="15757234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4590479"/>
        <c:crosses val="autoZero"/>
        <c:auto val="1"/>
        <c:lblAlgn val="ctr"/>
        <c:lblOffset val="100"/>
        <c:noMultiLvlLbl val="0"/>
      </c:catAx>
      <c:valAx>
        <c:axId val="2064590479"/>
        <c:scaling>
          <c:orientation val="minMax"/>
        </c:scaling>
        <c:delete val="1"/>
        <c:axPos val="l"/>
        <c:numFmt formatCode="General" sourceLinked="1"/>
        <c:majorTickMark val="out"/>
        <c:minorTickMark val="none"/>
        <c:tickLblPos val="nextTo"/>
        <c:crossAx val="15757234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759144574337E-3"/>
          <c:y val="0"/>
          <c:w val="0.99722238667534979"/>
          <c:h val="1"/>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Report'!$M$5:$M$36</c:f>
              <c:numCache>
                <c:formatCode>0.00</c:formatCode>
                <c:ptCount val="31"/>
                <c:pt idx="0">
                  <c:v>3.3333333333333335</c:v>
                </c:pt>
                <c:pt idx="1">
                  <c:v>3</c:v>
                </c:pt>
                <c:pt idx="2">
                  <c:v>3.1428571428571428</c:v>
                </c:pt>
                <c:pt idx="3">
                  <c:v>3.1111111111111112</c:v>
                </c:pt>
                <c:pt idx="4">
                  <c:v>2.8888888888888888</c:v>
                </c:pt>
                <c:pt idx="5">
                  <c:v>3</c:v>
                </c:pt>
                <c:pt idx="6">
                  <c:v>3.5</c:v>
                </c:pt>
                <c:pt idx="7">
                  <c:v>3.3125</c:v>
                </c:pt>
                <c:pt idx="8">
                  <c:v>2.8181818181818183</c:v>
                </c:pt>
                <c:pt idx="9">
                  <c:v>3.0833333333333335</c:v>
                </c:pt>
                <c:pt idx="10">
                  <c:v>2.3636363636363638</c:v>
                </c:pt>
                <c:pt idx="11">
                  <c:v>3.2666666666666666</c:v>
                </c:pt>
                <c:pt idx="12">
                  <c:v>2.625</c:v>
                </c:pt>
                <c:pt idx="13">
                  <c:v>3.1111111111111112</c:v>
                </c:pt>
                <c:pt idx="14">
                  <c:v>3.25</c:v>
                </c:pt>
                <c:pt idx="15">
                  <c:v>2.75</c:v>
                </c:pt>
                <c:pt idx="16">
                  <c:v>2.6666666666666665</c:v>
                </c:pt>
                <c:pt idx="17">
                  <c:v>3.4</c:v>
                </c:pt>
                <c:pt idx="18">
                  <c:v>3.6666666666666665</c:v>
                </c:pt>
                <c:pt idx="19">
                  <c:v>1.4</c:v>
                </c:pt>
                <c:pt idx="20">
                  <c:v>2.7777777777777777</c:v>
                </c:pt>
                <c:pt idx="21">
                  <c:v>3.0833333333333335</c:v>
                </c:pt>
                <c:pt idx="22">
                  <c:v>2.8888888888888888</c:v>
                </c:pt>
                <c:pt idx="23">
                  <c:v>3.1428571428571428</c:v>
                </c:pt>
                <c:pt idx="24">
                  <c:v>2.9285714285714284</c:v>
                </c:pt>
                <c:pt idx="25">
                  <c:v>3.2</c:v>
                </c:pt>
                <c:pt idx="26">
                  <c:v>3</c:v>
                </c:pt>
                <c:pt idx="27">
                  <c:v>3.6</c:v>
                </c:pt>
                <c:pt idx="28">
                  <c:v>3</c:v>
                </c:pt>
                <c:pt idx="29">
                  <c:v>2.2727272727272729</c:v>
                </c:pt>
                <c:pt idx="30">
                  <c:v>2.3636363636363638</c:v>
                </c:pt>
              </c:numCache>
            </c:numRef>
          </c:val>
          <c:extLst>
            <c:ext xmlns:c16="http://schemas.microsoft.com/office/drawing/2014/chart" uri="{C3380CC4-5D6E-409C-BE32-E72D297353CC}">
              <c16:uniqueId val="{00000006-9866-448F-A88C-A16C1095EC6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6114416"/>
        <c:axId val="482995504"/>
      </c:areaChart>
      <c:catAx>
        <c:axId val="10261144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2995504"/>
        <c:crosses val="autoZero"/>
        <c:auto val="1"/>
        <c:lblAlgn val="ctr"/>
        <c:lblOffset val="100"/>
        <c:noMultiLvlLbl val="0"/>
      </c:catAx>
      <c:valAx>
        <c:axId val="482995504"/>
        <c:scaling>
          <c:orientation val="minMax"/>
        </c:scaling>
        <c:delete val="1"/>
        <c:axPos val="l"/>
        <c:numFmt formatCode="0.00" sourceLinked="1"/>
        <c:majorTickMark val="out"/>
        <c:minorTickMark val="none"/>
        <c:tickLblPos val="nextTo"/>
        <c:crossAx val="10261144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9915809197877648E-3"/>
          <c:w val="1"/>
          <c:h val="0.96302521660817997"/>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Report'!$J$4:$J$35</c:f>
              <c:numCache>
                <c:formatCode>0.00</c:formatCode>
                <c:ptCount val="31"/>
                <c:pt idx="0">
                  <c:v>68.599999999999994</c:v>
                </c:pt>
                <c:pt idx="1">
                  <c:v>60.142857142857146</c:v>
                </c:pt>
                <c:pt idx="2">
                  <c:v>67.214285714285708</c:v>
                </c:pt>
                <c:pt idx="3">
                  <c:v>76.111111111111114</c:v>
                </c:pt>
                <c:pt idx="4">
                  <c:v>58.444444444444443</c:v>
                </c:pt>
                <c:pt idx="5">
                  <c:v>61.8</c:v>
                </c:pt>
                <c:pt idx="6">
                  <c:v>34</c:v>
                </c:pt>
                <c:pt idx="7">
                  <c:v>67.5625</c:v>
                </c:pt>
                <c:pt idx="8">
                  <c:v>60.090909090909093</c:v>
                </c:pt>
                <c:pt idx="9">
                  <c:v>56.5</c:v>
                </c:pt>
                <c:pt idx="10">
                  <c:v>60.090909090909093</c:v>
                </c:pt>
                <c:pt idx="11">
                  <c:v>49.866666666666667</c:v>
                </c:pt>
                <c:pt idx="12">
                  <c:v>76.875</c:v>
                </c:pt>
                <c:pt idx="13">
                  <c:v>69.777777777777771</c:v>
                </c:pt>
                <c:pt idx="14">
                  <c:v>63.25</c:v>
                </c:pt>
                <c:pt idx="15">
                  <c:v>80.125</c:v>
                </c:pt>
                <c:pt idx="16">
                  <c:v>62.416666666666664</c:v>
                </c:pt>
                <c:pt idx="17">
                  <c:v>72.099999999999994</c:v>
                </c:pt>
                <c:pt idx="18">
                  <c:v>59.166666666666664</c:v>
                </c:pt>
                <c:pt idx="19">
                  <c:v>40.799999999999997</c:v>
                </c:pt>
                <c:pt idx="20">
                  <c:v>56.777777777777779</c:v>
                </c:pt>
                <c:pt idx="21">
                  <c:v>61.833333333333336</c:v>
                </c:pt>
                <c:pt idx="22">
                  <c:v>67.444444444444443</c:v>
                </c:pt>
                <c:pt idx="23">
                  <c:v>65.857142857142861</c:v>
                </c:pt>
                <c:pt idx="24">
                  <c:v>75.214285714285708</c:v>
                </c:pt>
                <c:pt idx="25">
                  <c:v>49.133333333333333</c:v>
                </c:pt>
                <c:pt idx="26">
                  <c:v>90.5</c:v>
                </c:pt>
                <c:pt idx="27">
                  <c:v>58.5</c:v>
                </c:pt>
                <c:pt idx="28">
                  <c:v>77.8</c:v>
                </c:pt>
                <c:pt idx="29">
                  <c:v>49.727272727272727</c:v>
                </c:pt>
                <c:pt idx="30">
                  <c:v>46.363636363636367</c:v>
                </c:pt>
              </c:numCache>
            </c:numRef>
          </c:val>
          <c:extLst>
            <c:ext xmlns:c16="http://schemas.microsoft.com/office/drawing/2014/chart" uri="{C3380CC4-5D6E-409C-BE32-E72D297353CC}">
              <c16:uniqueId val="{00000006-2787-4CB7-AC69-DF707FF342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5786111"/>
        <c:axId val="2064555919"/>
      </c:areaChart>
      <c:catAx>
        <c:axId val="1575786111"/>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4555919"/>
        <c:crosses val="autoZero"/>
        <c:auto val="1"/>
        <c:lblAlgn val="ctr"/>
        <c:lblOffset val="100"/>
        <c:noMultiLvlLbl val="0"/>
      </c:catAx>
      <c:valAx>
        <c:axId val="2064555919"/>
        <c:scaling>
          <c:orientation val="minMax"/>
        </c:scaling>
        <c:delete val="1"/>
        <c:axPos val="l"/>
        <c:numFmt formatCode="0.00" sourceLinked="1"/>
        <c:majorTickMark val="out"/>
        <c:minorTickMark val="none"/>
        <c:tickLblPos val="nextTo"/>
        <c:crossAx val="157578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image" Target="../media/image4.svg"/><Relationship Id="rId2" Type="http://schemas.openxmlformats.org/officeDocument/2006/relationships/image" Target="../media/image1.png"/><Relationship Id="rId16" Type="http://schemas.openxmlformats.org/officeDocument/2006/relationships/chart" Target="../charts/chart8.xml"/><Relationship Id="rId1" Type="http://schemas.openxmlformats.org/officeDocument/2006/relationships/hyperlink" Target="#'Daily No.Patient'!A1"/><Relationship Id="rId6" Type="http://schemas.openxmlformats.org/officeDocument/2006/relationships/hyperlink" Target="#'Satisfaction Score'!A1"/><Relationship Id="rId11" Type="http://schemas.openxmlformats.org/officeDocument/2006/relationships/image" Target="../media/image3.png"/><Relationship Id="rId5" Type="http://schemas.openxmlformats.org/officeDocument/2006/relationships/chart" Target="../charts/chart3.xml"/><Relationship Id="rId15" Type="http://schemas.openxmlformats.org/officeDocument/2006/relationships/chart" Target="../charts/chart7.xml"/><Relationship Id="rId10" Type="http://schemas.openxmlformats.org/officeDocument/2006/relationships/chart" Target="../charts/chart6.xml"/><Relationship Id="rId4" Type="http://schemas.openxmlformats.org/officeDocument/2006/relationships/hyperlink" Target="#'Average wait time'!A1"/><Relationship Id="rId9" Type="http://schemas.openxmlformats.org/officeDocument/2006/relationships/chart" Target="../charts/chart5.xml"/><Relationship Id="rId14" Type="http://schemas.openxmlformats.org/officeDocument/2006/relationships/image" Target="../media/image6.sv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9.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731821</xdr:colOff>
      <xdr:row>47</xdr:row>
      <xdr:rowOff>172909</xdr:rowOff>
    </xdr:from>
    <xdr:to>
      <xdr:col>5</xdr:col>
      <xdr:colOff>30178</xdr:colOff>
      <xdr:row>49</xdr:row>
      <xdr:rowOff>172907</xdr:rowOff>
    </xdr:to>
    <xdr:graphicFrame macro="">
      <xdr:nvGraphicFramePr>
        <xdr:cNvPr id="3" name="Chart 2">
          <a:extLst>
            <a:ext uri="{FF2B5EF4-FFF2-40B4-BE49-F238E27FC236}">
              <a16:creationId xmlns:a16="http://schemas.microsoft.com/office/drawing/2014/main" id="{E0D50CAA-3879-7877-D6A2-9B35F75A0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199159</xdr:colOff>
      <xdr:row>0</xdr:row>
      <xdr:rowOff>106982</xdr:rowOff>
    </xdr:from>
    <xdr:to>
      <xdr:col>10</xdr:col>
      <xdr:colOff>155862</xdr:colOff>
      <xdr:row>3</xdr:row>
      <xdr:rowOff>156144</xdr:rowOff>
    </xdr:to>
    <xdr:sp macro="" textlink="">
      <xdr:nvSpPr>
        <xdr:cNvPr id="3" name="Rectangle: Rounded Corners 2">
          <a:extLst>
            <a:ext uri="{FF2B5EF4-FFF2-40B4-BE49-F238E27FC236}">
              <a16:creationId xmlns:a16="http://schemas.microsoft.com/office/drawing/2014/main" id="{12CB6C5D-28CC-307A-3B67-5608B8909697}"/>
            </a:ext>
          </a:extLst>
        </xdr:cNvPr>
        <xdr:cNvSpPr/>
      </xdr:nvSpPr>
      <xdr:spPr>
        <a:xfrm>
          <a:off x="2027959" y="106982"/>
          <a:ext cx="4223903" cy="607962"/>
        </a:xfrm>
        <a:prstGeom prst="roundRect">
          <a:avLst>
            <a:gd name="adj" fmla="val 1945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69274</xdr:colOff>
      <xdr:row>0</xdr:row>
      <xdr:rowOff>86591</xdr:rowOff>
    </xdr:from>
    <xdr:to>
      <xdr:col>3</xdr:col>
      <xdr:colOff>129887</xdr:colOff>
      <xdr:row>6</xdr:row>
      <xdr:rowOff>164523</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43327285-73E3-E5B7-2B4F-70E4F05C3CDD}"/>
            </a:ext>
          </a:extLst>
        </xdr:cNvPr>
        <xdr:cNvSpPr/>
      </xdr:nvSpPr>
      <xdr:spPr>
        <a:xfrm>
          <a:off x="69274" y="86591"/>
          <a:ext cx="1879022" cy="1168977"/>
        </a:xfrm>
        <a:prstGeom prst="roundRect">
          <a:avLst>
            <a:gd name="adj" fmla="val 777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77932</xdr:colOff>
      <xdr:row>7</xdr:row>
      <xdr:rowOff>60614</xdr:rowOff>
    </xdr:from>
    <xdr:to>
      <xdr:col>3</xdr:col>
      <xdr:colOff>129886</xdr:colOff>
      <xdr:row>13</xdr:row>
      <xdr:rowOff>51954</xdr:rowOff>
    </xdr:to>
    <xdr:sp macro="" textlink="">
      <xdr:nvSpPr>
        <xdr:cNvPr id="5" name="Rectangle: Rounded Corners 4">
          <a:extLst>
            <a:ext uri="{FF2B5EF4-FFF2-40B4-BE49-F238E27FC236}">
              <a16:creationId xmlns:a16="http://schemas.microsoft.com/office/drawing/2014/main" id="{6F4037CA-BAF4-C868-2A6F-B48FBE8C23A2}"/>
            </a:ext>
          </a:extLst>
        </xdr:cNvPr>
        <xdr:cNvSpPr/>
      </xdr:nvSpPr>
      <xdr:spPr>
        <a:xfrm>
          <a:off x="77932" y="1333500"/>
          <a:ext cx="1870363" cy="1082386"/>
        </a:xfrm>
        <a:prstGeom prst="roundRect">
          <a:avLst>
            <a:gd name="adj" fmla="val 62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77931</xdr:colOff>
      <xdr:row>13</xdr:row>
      <xdr:rowOff>103909</xdr:rowOff>
    </xdr:from>
    <xdr:to>
      <xdr:col>3</xdr:col>
      <xdr:colOff>129885</xdr:colOff>
      <xdr:row>19</xdr:row>
      <xdr:rowOff>138546</xdr:rowOff>
    </xdr:to>
    <xdr:sp macro="" textlink="">
      <xdr:nvSpPr>
        <xdr:cNvPr id="6" name="Rectangle: Rounded Corners 5">
          <a:extLst>
            <a:ext uri="{FF2B5EF4-FFF2-40B4-BE49-F238E27FC236}">
              <a16:creationId xmlns:a16="http://schemas.microsoft.com/office/drawing/2014/main" id="{FFFA7B9C-CF40-1B52-C333-29A0C44BFB29}"/>
            </a:ext>
          </a:extLst>
        </xdr:cNvPr>
        <xdr:cNvSpPr/>
      </xdr:nvSpPr>
      <xdr:spPr>
        <a:xfrm>
          <a:off x="77931" y="2467841"/>
          <a:ext cx="1870363" cy="1125682"/>
        </a:xfrm>
        <a:prstGeom prst="roundRect">
          <a:avLst>
            <a:gd name="adj" fmla="val 589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216477</xdr:colOff>
      <xdr:row>4</xdr:row>
      <xdr:rowOff>34635</xdr:rowOff>
    </xdr:from>
    <xdr:to>
      <xdr:col>15</xdr:col>
      <xdr:colOff>285750</xdr:colOff>
      <xdr:row>14</xdr:row>
      <xdr:rowOff>51953</xdr:rowOff>
    </xdr:to>
    <xdr:sp macro="" textlink="">
      <xdr:nvSpPr>
        <xdr:cNvPr id="7" name="Rectangle: Rounded Corners 6">
          <a:extLst>
            <a:ext uri="{FF2B5EF4-FFF2-40B4-BE49-F238E27FC236}">
              <a16:creationId xmlns:a16="http://schemas.microsoft.com/office/drawing/2014/main" id="{902051DD-437A-F641-CB8F-1B76971A8726}"/>
            </a:ext>
          </a:extLst>
        </xdr:cNvPr>
        <xdr:cNvSpPr/>
      </xdr:nvSpPr>
      <xdr:spPr>
        <a:xfrm>
          <a:off x="6312477" y="779702"/>
          <a:ext cx="3117273" cy="1879984"/>
        </a:xfrm>
        <a:prstGeom prst="roundRect">
          <a:avLst>
            <a:gd name="adj" fmla="val 108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211656</xdr:colOff>
      <xdr:row>4</xdr:row>
      <xdr:rowOff>25978</xdr:rowOff>
    </xdr:from>
    <xdr:to>
      <xdr:col>8</xdr:col>
      <xdr:colOff>225136</xdr:colOff>
      <xdr:row>14</xdr:row>
      <xdr:rowOff>43293</xdr:rowOff>
    </xdr:to>
    <xdr:sp macro="" textlink="">
      <xdr:nvSpPr>
        <xdr:cNvPr id="8" name="Rectangle: Rounded Corners 7">
          <a:extLst>
            <a:ext uri="{FF2B5EF4-FFF2-40B4-BE49-F238E27FC236}">
              <a16:creationId xmlns:a16="http://schemas.microsoft.com/office/drawing/2014/main" id="{7470F390-CA17-B0E7-11C2-2B621E660876}"/>
            </a:ext>
          </a:extLst>
        </xdr:cNvPr>
        <xdr:cNvSpPr/>
      </xdr:nvSpPr>
      <xdr:spPr>
        <a:xfrm>
          <a:off x="2040456" y="771045"/>
          <a:ext cx="3061480" cy="1879981"/>
        </a:xfrm>
        <a:prstGeom prst="roundRect">
          <a:avLst>
            <a:gd name="adj" fmla="val 811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25977</xdr:colOff>
      <xdr:row>20</xdr:row>
      <xdr:rowOff>43295</xdr:rowOff>
    </xdr:from>
    <xdr:to>
      <xdr:col>7</xdr:col>
      <xdr:colOff>190499</xdr:colOff>
      <xdr:row>28</xdr:row>
      <xdr:rowOff>147205</xdr:rowOff>
    </xdr:to>
    <xdr:sp macro="" textlink="">
      <xdr:nvSpPr>
        <xdr:cNvPr id="9" name="Rectangle: Rounded Corners 8">
          <a:extLst>
            <a:ext uri="{FF2B5EF4-FFF2-40B4-BE49-F238E27FC236}">
              <a16:creationId xmlns:a16="http://schemas.microsoft.com/office/drawing/2014/main" id="{116E74C8-2A21-A3D4-B16D-9E0405580B12}"/>
            </a:ext>
          </a:extLst>
        </xdr:cNvPr>
        <xdr:cNvSpPr/>
      </xdr:nvSpPr>
      <xdr:spPr>
        <a:xfrm>
          <a:off x="25977" y="3768628"/>
          <a:ext cx="4431722" cy="1594044"/>
        </a:xfrm>
        <a:prstGeom prst="roundRect">
          <a:avLst>
            <a:gd name="adj" fmla="val 145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285751</xdr:colOff>
      <xdr:row>14</xdr:row>
      <xdr:rowOff>121227</xdr:rowOff>
    </xdr:from>
    <xdr:to>
      <xdr:col>15</xdr:col>
      <xdr:colOff>294411</xdr:colOff>
      <xdr:row>28</xdr:row>
      <xdr:rowOff>121228</xdr:rowOff>
    </xdr:to>
    <xdr:sp macro="" textlink="">
      <xdr:nvSpPr>
        <xdr:cNvPr id="10" name="Rectangle: Rounded Corners 9">
          <a:extLst>
            <a:ext uri="{FF2B5EF4-FFF2-40B4-BE49-F238E27FC236}">
              <a16:creationId xmlns:a16="http://schemas.microsoft.com/office/drawing/2014/main" id="{9E05A5FA-EE21-62B9-11CD-6C6ED6933C81}"/>
            </a:ext>
          </a:extLst>
        </xdr:cNvPr>
        <xdr:cNvSpPr/>
      </xdr:nvSpPr>
      <xdr:spPr>
        <a:xfrm>
          <a:off x="4528706" y="2667000"/>
          <a:ext cx="4857750" cy="2545773"/>
        </a:xfrm>
        <a:prstGeom prst="roundRect">
          <a:avLst>
            <a:gd name="adj" fmla="val 660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320386</xdr:colOff>
      <xdr:row>4</xdr:row>
      <xdr:rowOff>34636</xdr:rowOff>
    </xdr:from>
    <xdr:to>
      <xdr:col>10</xdr:col>
      <xdr:colOff>138545</xdr:colOff>
      <xdr:row>14</xdr:row>
      <xdr:rowOff>25976</xdr:rowOff>
    </xdr:to>
    <xdr:sp macro="" textlink="">
      <xdr:nvSpPr>
        <xdr:cNvPr id="12" name="Rectangle: Rounded Corners 11">
          <a:extLst>
            <a:ext uri="{FF2B5EF4-FFF2-40B4-BE49-F238E27FC236}">
              <a16:creationId xmlns:a16="http://schemas.microsoft.com/office/drawing/2014/main" id="{C6C2104D-A986-DCE6-8E71-BF46B0486CA5}"/>
            </a:ext>
          </a:extLst>
        </xdr:cNvPr>
        <xdr:cNvSpPr/>
      </xdr:nvSpPr>
      <xdr:spPr>
        <a:xfrm>
          <a:off x="5197186" y="779703"/>
          <a:ext cx="1037359" cy="1854006"/>
        </a:xfrm>
        <a:prstGeom prst="roundRect">
          <a:avLst>
            <a:gd name="adj" fmla="val 768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277091</xdr:colOff>
      <xdr:row>0</xdr:row>
      <xdr:rowOff>86313</xdr:rowOff>
    </xdr:from>
    <xdr:to>
      <xdr:col>15</xdr:col>
      <xdr:colOff>257364</xdr:colOff>
      <xdr:row>3</xdr:row>
      <xdr:rowOff>139845</xdr:rowOff>
    </xdr:to>
    <xdr:sp macro="" textlink="">
      <xdr:nvSpPr>
        <xdr:cNvPr id="19" name="Rectangle: Rounded Corners 18">
          <a:extLst>
            <a:ext uri="{FF2B5EF4-FFF2-40B4-BE49-F238E27FC236}">
              <a16:creationId xmlns:a16="http://schemas.microsoft.com/office/drawing/2014/main" id="{4DF115B7-BAAD-C665-F7C9-EFD82A2C383D}"/>
            </a:ext>
          </a:extLst>
        </xdr:cNvPr>
        <xdr:cNvSpPr/>
      </xdr:nvSpPr>
      <xdr:spPr>
        <a:xfrm>
          <a:off x="6357697" y="86313"/>
          <a:ext cx="3020576" cy="607714"/>
        </a:xfrm>
        <a:prstGeom prst="roundRect">
          <a:avLst>
            <a:gd name="adj" fmla="val 692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490309</xdr:colOff>
      <xdr:row>0</xdr:row>
      <xdr:rowOff>55493</xdr:rowOff>
    </xdr:from>
    <xdr:to>
      <xdr:col>10</xdr:col>
      <xdr:colOff>72624</xdr:colOff>
      <xdr:row>2</xdr:row>
      <xdr:rowOff>39106</xdr:rowOff>
    </xdr:to>
    <xdr:sp macro="" textlink="">
      <xdr:nvSpPr>
        <xdr:cNvPr id="20" name="TextBox 19">
          <a:extLst>
            <a:ext uri="{FF2B5EF4-FFF2-40B4-BE49-F238E27FC236}">
              <a16:creationId xmlns:a16="http://schemas.microsoft.com/office/drawing/2014/main" id="{B293C2A5-DD11-7C49-BBBA-3FFC1BC8D877}"/>
            </a:ext>
          </a:extLst>
        </xdr:cNvPr>
        <xdr:cNvSpPr txBox="1"/>
      </xdr:nvSpPr>
      <xdr:spPr>
        <a:xfrm>
          <a:off x="2914854" y="55493"/>
          <a:ext cx="3219134" cy="347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1"/>
            <a:t>Hospital Performance DashBoard</a:t>
          </a:r>
        </a:p>
      </xdr:txBody>
    </xdr:sp>
    <xdr:clientData/>
  </xdr:twoCellAnchor>
  <xdr:twoCellAnchor editAs="oneCell">
    <xdr:from>
      <xdr:col>3</xdr:col>
      <xdr:colOff>104261</xdr:colOff>
      <xdr:row>0</xdr:row>
      <xdr:rowOff>1</xdr:rowOff>
    </xdr:from>
    <xdr:to>
      <xdr:col>5</xdr:col>
      <xdr:colOff>34637</xdr:colOff>
      <xdr:row>4</xdr:row>
      <xdr:rowOff>77931</xdr:rowOff>
    </xdr:to>
    <xdr:pic>
      <xdr:nvPicPr>
        <xdr:cNvPr id="28" name="Picture 27">
          <a:extLst>
            <a:ext uri="{FF2B5EF4-FFF2-40B4-BE49-F238E27FC236}">
              <a16:creationId xmlns:a16="http://schemas.microsoft.com/office/drawing/2014/main" id="{460DC7B9-8D8C-B6D1-5B5D-9762E610E8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22670" y="1"/>
          <a:ext cx="1142649" cy="805294"/>
        </a:xfrm>
        <a:prstGeom prst="rect">
          <a:avLst/>
        </a:prstGeom>
      </xdr:spPr>
    </xdr:pic>
    <xdr:clientData/>
  </xdr:twoCellAnchor>
  <xdr:twoCellAnchor editAs="absolute">
    <xdr:from>
      <xdr:col>3</xdr:col>
      <xdr:colOff>225136</xdr:colOff>
      <xdr:row>14</xdr:row>
      <xdr:rowOff>121227</xdr:rowOff>
    </xdr:from>
    <xdr:to>
      <xdr:col>7</xdr:col>
      <xdr:colOff>152400</xdr:colOff>
      <xdr:row>19</xdr:row>
      <xdr:rowOff>129887</xdr:rowOff>
    </xdr:to>
    <xdr:sp macro="" textlink="">
      <xdr:nvSpPr>
        <xdr:cNvPr id="30" name="Rectangle: Rounded Corners 29">
          <a:extLst>
            <a:ext uri="{FF2B5EF4-FFF2-40B4-BE49-F238E27FC236}">
              <a16:creationId xmlns:a16="http://schemas.microsoft.com/office/drawing/2014/main" id="{EE4C45E0-4DA6-22C8-3CB6-C452EA8141F7}"/>
            </a:ext>
          </a:extLst>
        </xdr:cNvPr>
        <xdr:cNvSpPr/>
      </xdr:nvSpPr>
      <xdr:spPr>
        <a:xfrm>
          <a:off x="2053936" y="2728960"/>
          <a:ext cx="2365664" cy="939994"/>
        </a:xfrm>
        <a:prstGeom prst="roundRect">
          <a:avLst>
            <a:gd name="adj" fmla="val 85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68887</xdr:colOff>
      <xdr:row>1</xdr:row>
      <xdr:rowOff>181915</xdr:rowOff>
    </xdr:from>
    <xdr:to>
      <xdr:col>8</xdr:col>
      <xdr:colOff>484524</xdr:colOff>
      <xdr:row>3</xdr:row>
      <xdr:rowOff>165529</xdr:rowOff>
    </xdr:to>
    <xdr:sp macro="" textlink="">
      <xdr:nvSpPr>
        <xdr:cNvPr id="31" name="TextBox 30">
          <a:extLst>
            <a:ext uri="{FF2B5EF4-FFF2-40B4-BE49-F238E27FC236}">
              <a16:creationId xmlns:a16="http://schemas.microsoft.com/office/drawing/2014/main" id="{6F560A5A-E662-2196-42B7-FC2D9D9A0EF6}"/>
            </a:ext>
          </a:extLst>
        </xdr:cNvPr>
        <xdr:cNvSpPr txBox="1"/>
      </xdr:nvSpPr>
      <xdr:spPr>
        <a:xfrm>
          <a:off x="3726487" y="368182"/>
          <a:ext cx="1634837" cy="356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Monthly</a:t>
          </a:r>
          <a:r>
            <a:rPr lang="en-US" sz="1200" b="0" u="none" baseline="0">
              <a:latin typeface="Aptos Display" panose="020B0004020202020204" pitchFamily="34" charset="0"/>
            </a:rPr>
            <a:t> Report</a:t>
          </a:r>
          <a:endParaRPr lang="en-US" sz="1200" b="0" u="none">
            <a:latin typeface="Aptos Display" panose="020B0004020202020204" pitchFamily="34" charset="0"/>
          </a:endParaRPr>
        </a:p>
      </xdr:txBody>
    </xdr:sp>
    <xdr:clientData/>
  </xdr:twoCellAnchor>
  <xdr:twoCellAnchor>
    <xdr:from>
      <xdr:col>0</xdr:col>
      <xdr:colOff>458933</xdr:colOff>
      <xdr:row>7</xdr:row>
      <xdr:rowOff>46835</xdr:rowOff>
    </xdr:from>
    <xdr:to>
      <xdr:col>2</xdr:col>
      <xdr:colOff>372341</xdr:colOff>
      <xdr:row>9</xdr:row>
      <xdr:rowOff>25978</xdr:rowOff>
    </xdr:to>
    <xdr:sp macro="" textlink="">
      <xdr:nvSpPr>
        <xdr:cNvPr id="32" name="TextBox 31">
          <a:extLst>
            <a:ext uri="{FF2B5EF4-FFF2-40B4-BE49-F238E27FC236}">
              <a16:creationId xmlns:a16="http://schemas.microsoft.com/office/drawing/2014/main" id="{98150872-1563-C535-DF10-B495834F36C8}"/>
            </a:ext>
          </a:extLst>
        </xdr:cNvPr>
        <xdr:cNvSpPr txBox="1"/>
      </xdr:nvSpPr>
      <xdr:spPr>
        <a:xfrm>
          <a:off x="458933" y="1319721"/>
          <a:ext cx="1125681" cy="34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Avg.Wait</a:t>
          </a:r>
          <a:r>
            <a:rPr lang="en-US" sz="1200" b="0" u="none" baseline="0">
              <a:latin typeface="Aptos Display" panose="020B0004020202020204" pitchFamily="34" charset="0"/>
            </a:rPr>
            <a:t> Time</a:t>
          </a:r>
          <a:endParaRPr lang="en-US" sz="1200" b="0" u="none">
            <a:latin typeface="Aptos Display" panose="020B0004020202020204" pitchFamily="34" charset="0"/>
          </a:endParaRPr>
        </a:p>
      </xdr:txBody>
    </xdr:sp>
    <xdr:clientData/>
  </xdr:twoCellAnchor>
  <xdr:twoCellAnchor>
    <xdr:from>
      <xdr:col>0</xdr:col>
      <xdr:colOff>329044</xdr:colOff>
      <xdr:row>0</xdr:row>
      <xdr:rowOff>129962</xdr:rowOff>
    </xdr:from>
    <xdr:to>
      <xdr:col>2</xdr:col>
      <xdr:colOff>507420</xdr:colOff>
      <xdr:row>2</xdr:row>
      <xdr:rowOff>51954</xdr:rowOff>
    </xdr:to>
    <xdr:sp macro="" textlink="">
      <xdr:nvSpPr>
        <xdr:cNvPr id="33" name="TextBox 32">
          <a:extLst>
            <a:ext uri="{FF2B5EF4-FFF2-40B4-BE49-F238E27FC236}">
              <a16:creationId xmlns:a16="http://schemas.microsoft.com/office/drawing/2014/main" id="{4833438A-A46F-968D-C8B1-B70EDBD216C9}"/>
            </a:ext>
          </a:extLst>
        </xdr:cNvPr>
        <xdr:cNvSpPr txBox="1"/>
      </xdr:nvSpPr>
      <xdr:spPr>
        <a:xfrm>
          <a:off x="329044" y="129962"/>
          <a:ext cx="1390649" cy="285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No.of</a:t>
          </a:r>
          <a:r>
            <a:rPr lang="en-US" sz="1200" b="0" u="none" baseline="0">
              <a:latin typeface="Aptos Display" panose="020B0004020202020204" pitchFamily="34" charset="0"/>
            </a:rPr>
            <a:t> Patients</a:t>
          </a:r>
          <a:endParaRPr lang="en-US" sz="1200" b="0" u="none">
            <a:latin typeface="Aptos Display" panose="020B0004020202020204" pitchFamily="34" charset="0"/>
          </a:endParaRPr>
        </a:p>
      </xdr:txBody>
    </xdr:sp>
    <xdr:clientData/>
  </xdr:twoCellAnchor>
  <xdr:twoCellAnchor>
    <xdr:from>
      <xdr:col>3</xdr:col>
      <xdr:colOff>372341</xdr:colOff>
      <xdr:row>14</xdr:row>
      <xdr:rowOff>101600</xdr:rowOff>
    </xdr:from>
    <xdr:to>
      <xdr:col>6</xdr:col>
      <xdr:colOff>580159</xdr:colOff>
      <xdr:row>19</xdr:row>
      <xdr:rowOff>147205</xdr:rowOff>
    </xdr:to>
    <xdr:sp macro="" textlink="">
      <xdr:nvSpPr>
        <xdr:cNvPr id="34" name="TextBox 33">
          <a:extLst>
            <a:ext uri="{FF2B5EF4-FFF2-40B4-BE49-F238E27FC236}">
              <a16:creationId xmlns:a16="http://schemas.microsoft.com/office/drawing/2014/main" id="{28366E0C-97C9-27DC-6686-C57C1A3CA042}"/>
            </a:ext>
          </a:extLst>
        </xdr:cNvPr>
        <xdr:cNvSpPr txBox="1"/>
      </xdr:nvSpPr>
      <xdr:spPr>
        <a:xfrm>
          <a:off x="2190750" y="2647373"/>
          <a:ext cx="2026227" cy="954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3200" b="0" u="none">
              <a:latin typeface="Aptos Display" panose="020B0004020202020204" pitchFamily="34" charset="0"/>
            </a:rPr>
            <a:t>Analysis</a:t>
          </a:r>
        </a:p>
      </xdr:txBody>
    </xdr:sp>
    <xdr:clientData/>
  </xdr:twoCellAnchor>
  <xdr:twoCellAnchor>
    <xdr:from>
      <xdr:col>0</xdr:col>
      <xdr:colOff>213014</xdr:colOff>
      <xdr:row>13</xdr:row>
      <xdr:rowOff>147281</xdr:rowOff>
    </xdr:from>
    <xdr:to>
      <xdr:col>3</xdr:col>
      <xdr:colOff>22515</xdr:colOff>
      <xdr:row>14</xdr:row>
      <xdr:rowOff>173182</xdr:rowOff>
    </xdr:to>
    <xdr:sp macro="" textlink="">
      <xdr:nvSpPr>
        <xdr:cNvPr id="71" name="TextBox 70">
          <a:extLst>
            <a:ext uri="{FF2B5EF4-FFF2-40B4-BE49-F238E27FC236}">
              <a16:creationId xmlns:a16="http://schemas.microsoft.com/office/drawing/2014/main" id="{F3855851-B62E-FBE4-77DB-D5122299F8A8}"/>
            </a:ext>
          </a:extLst>
        </xdr:cNvPr>
        <xdr:cNvSpPr txBox="1"/>
      </xdr:nvSpPr>
      <xdr:spPr>
        <a:xfrm>
          <a:off x="213014" y="2511213"/>
          <a:ext cx="1627910" cy="207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Satisfaction</a:t>
          </a:r>
          <a:r>
            <a:rPr lang="en-US" sz="1200" b="0" u="none" baseline="0">
              <a:latin typeface="Aptos Display" panose="020B0004020202020204" pitchFamily="34" charset="0"/>
            </a:rPr>
            <a:t> Score</a:t>
          </a:r>
          <a:endParaRPr lang="en-US" sz="1200" b="0" u="none">
            <a:latin typeface="Aptos Display" panose="020B0004020202020204" pitchFamily="34" charset="0"/>
          </a:endParaRPr>
        </a:p>
      </xdr:txBody>
    </xdr:sp>
    <xdr:clientData/>
  </xdr:twoCellAnchor>
  <xdr:twoCellAnchor>
    <xdr:from>
      <xdr:col>1</xdr:col>
      <xdr:colOff>86592</xdr:colOff>
      <xdr:row>2</xdr:row>
      <xdr:rowOff>17318</xdr:rowOff>
    </xdr:from>
    <xdr:to>
      <xdr:col>2</xdr:col>
      <xdr:colOff>43296</xdr:colOff>
      <xdr:row>3</xdr:row>
      <xdr:rowOff>173182</xdr:rowOff>
    </xdr:to>
    <xdr:sp macro="" textlink="'Pivot Report'!A2">
      <xdr:nvSpPr>
        <xdr:cNvPr id="79" name="TextBox 78">
          <a:extLst>
            <a:ext uri="{FF2B5EF4-FFF2-40B4-BE49-F238E27FC236}">
              <a16:creationId xmlns:a16="http://schemas.microsoft.com/office/drawing/2014/main" id="{CF10A65E-6782-7A3F-9AA7-99D97840E251}"/>
            </a:ext>
          </a:extLst>
        </xdr:cNvPr>
        <xdr:cNvSpPr txBox="1"/>
      </xdr:nvSpPr>
      <xdr:spPr>
        <a:xfrm>
          <a:off x="692728" y="381000"/>
          <a:ext cx="562841"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1E9014F-38CF-4B28-A04A-2B0D52164CBE}" type="TxLink">
            <a:rPr lang="en-US" sz="2400" b="0" i="0" u="none" strike="noStrike">
              <a:solidFill>
                <a:srgbClr val="000000"/>
              </a:solidFill>
              <a:latin typeface="Calibri"/>
              <a:ea typeface="Calibri"/>
              <a:cs typeface="Calibri"/>
            </a:rPr>
            <a:pPr algn="ctr"/>
            <a:t>322</a:t>
          </a:fld>
          <a:endParaRPr lang="en-US" sz="2400" b="0" u="none">
            <a:latin typeface="Aptos Display" panose="020B0004020202020204" pitchFamily="34" charset="0"/>
          </a:endParaRPr>
        </a:p>
      </xdr:txBody>
    </xdr:sp>
    <xdr:clientData/>
  </xdr:twoCellAnchor>
  <xdr:twoCellAnchor>
    <xdr:from>
      <xdr:col>0</xdr:col>
      <xdr:colOff>597477</xdr:colOff>
      <xdr:row>8</xdr:row>
      <xdr:rowOff>168064</xdr:rowOff>
    </xdr:from>
    <xdr:to>
      <xdr:col>2</xdr:col>
      <xdr:colOff>242453</xdr:colOff>
      <xdr:row>10</xdr:row>
      <xdr:rowOff>77934</xdr:rowOff>
    </xdr:to>
    <xdr:sp macro="" textlink="'Pivot Report'!A9">
      <xdr:nvSpPr>
        <xdr:cNvPr id="82" name="TextBox 81">
          <a:extLst>
            <a:ext uri="{FF2B5EF4-FFF2-40B4-BE49-F238E27FC236}">
              <a16:creationId xmlns:a16="http://schemas.microsoft.com/office/drawing/2014/main" id="{76E8DC13-F4E2-9046-0C08-583CA9286418}"/>
            </a:ext>
          </a:extLst>
        </xdr:cNvPr>
        <xdr:cNvSpPr txBox="1"/>
      </xdr:nvSpPr>
      <xdr:spPr>
        <a:xfrm>
          <a:off x="597477" y="1622791"/>
          <a:ext cx="857249" cy="273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B65A566-F09B-4B26-A730-37FB36241B1F}" type="TxLink">
            <a:rPr lang="en-US" sz="1800" b="0" i="0" u="none" strike="noStrike">
              <a:solidFill>
                <a:srgbClr val="000000"/>
              </a:solidFill>
              <a:latin typeface="Calibri"/>
              <a:ea typeface="Calibri"/>
              <a:cs typeface="Calibri"/>
            </a:rPr>
            <a:pPr algn="ctr"/>
            <a:t>62.00</a:t>
          </a:fld>
          <a:endParaRPr lang="en-US" sz="1800" b="0" u="none">
            <a:latin typeface="Aptos Display" panose="020B0004020202020204" pitchFamily="34" charset="0"/>
          </a:endParaRPr>
        </a:p>
      </xdr:txBody>
    </xdr:sp>
    <xdr:clientData/>
  </xdr:twoCellAnchor>
  <xdr:twoCellAnchor>
    <xdr:from>
      <xdr:col>0</xdr:col>
      <xdr:colOff>554182</xdr:colOff>
      <xdr:row>14</xdr:row>
      <xdr:rowOff>95325</xdr:rowOff>
    </xdr:from>
    <xdr:to>
      <xdr:col>2</xdr:col>
      <xdr:colOff>230333</xdr:colOff>
      <xdr:row>16</xdr:row>
      <xdr:rowOff>138544</xdr:rowOff>
    </xdr:to>
    <xdr:sp macro="" textlink="'Pivot Report'!A15">
      <xdr:nvSpPr>
        <xdr:cNvPr id="83" name="TextBox 82">
          <a:extLst>
            <a:ext uri="{FF2B5EF4-FFF2-40B4-BE49-F238E27FC236}">
              <a16:creationId xmlns:a16="http://schemas.microsoft.com/office/drawing/2014/main" id="{4A1F0AF7-44A1-E80E-40AF-AB5ED43DDBE1}"/>
            </a:ext>
          </a:extLst>
        </xdr:cNvPr>
        <xdr:cNvSpPr txBox="1"/>
      </xdr:nvSpPr>
      <xdr:spPr>
        <a:xfrm>
          <a:off x="554182" y="2641098"/>
          <a:ext cx="888424" cy="406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34A4526-C084-474C-9AF8-4E0BABD1B70A}" type="TxLink">
            <a:rPr lang="en-US" sz="1800" b="0" i="0" u="none" strike="noStrike">
              <a:solidFill>
                <a:srgbClr val="000000"/>
              </a:solidFill>
              <a:latin typeface="Calibri"/>
              <a:ea typeface="Calibri"/>
              <a:cs typeface="Calibri"/>
            </a:rPr>
            <a:pPr algn="ctr"/>
            <a:t>3.01</a:t>
          </a:fld>
          <a:endParaRPr lang="en-US" sz="1800" b="0" u="none">
            <a:latin typeface="Aptos Display" panose="020B0004020202020204" pitchFamily="34" charset="0"/>
          </a:endParaRPr>
        </a:p>
      </xdr:txBody>
    </xdr:sp>
    <xdr:clientData/>
  </xdr:twoCellAnchor>
  <xdr:twoCellAnchor editAs="oneCell">
    <xdr:from>
      <xdr:col>8</xdr:col>
      <xdr:colOff>406977</xdr:colOff>
      <xdr:row>4</xdr:row>
      <xdr:rowOff>77934</xdr:rowOff>
    </xdr:from>
    <xdr:to>
      <xdr:col>10</xdr:col>
      <xdr:colOff>60613</xdr:colOff>
      <xdr:row>13</xdr:row>
      <xdr:rowOff>164524</xdr:rowOff>
    </xdr:to>
    <mc:AlternateContent xmlns:mc="http://schemas.openxmlformats.org/markup-compatibility/2006" xmlns:a14="http://schemas.microsoft.com/office/drawing/2010/main">
      <mc:Choice Requires="a14">
        <xdr:graphicFrame macro="">
          <xdr:nvGraphicFramePr>
            <xdr:cNvPr id="84" name="Date (Month)">
              <a:extLst>
                <a:ext uri="{FF2B5EF4-FFF2-40B4-BE49-F238E27FC236}">
                  <a16:creationId xmlns:a16="http://schemas.microsoft.com/office/drawing/2014/main" id="{ED453755-0CA1-4C8A-BBB6-AC85555826A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256068" y="805298"/>
              <a:ext cx="865909" cy="1723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95251</xdr:colOff>
      <xdr:row>3</xdr:row>
      <xdr:rowOff>69272</xdr:rowOff>
    </xdr:from>
    <xdr:to>
      <xdr:col>3</xdr:col>
      <xdr:colOff>194865</xdr:colOff>
      <xdr:row>6</xdr:row>
      <xdr:rowOff>155863</xdr:rowOff>
    </xdr:to>
    <xdr:graphicFrame macro="">
      <xdr:nvGraphicFramePr>
        <xdr:cNvPr id="86" name="Chart 85">
          <a:hlinkClick xmlns:r="http://schemas.openxmlformats.org/officeDocument/2006/relationships" r:id="rId1"/>
          <a:extLst>
            <a:ext uri="{FF2B5EF4-FFF2-40B4-BE49-F238E27FC236}">
              <a16:creationId xmlns:a16="http://schemas.microsoft.com/office/drawing/2014/main" id="{CEDDCC19-D5FA-4910-BBBA-3BC1C89CC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69273</xdr:colOff>
      <xdr:row>10</xdr:row>
      <xdr:rowOff>34636</xdr:rowOff>
    </xdr:from>
    <xdr:to>
      <xdr:col>3</xdr:col>
      <xdr:colOff>129886</xdr:colOff>
      <xdr:row>13</xdr:row>
      <xdr:rowOff>43295</xdr:rowOff>
    </xdr:to>
    <xdr:graphicFrame macro="">
      <xdr:nvGraphicFramePr>
        <xdr:cNvPr id="88" name="Chart 87">
          <a:hlinkClick xmlns:r="http://schemas.openxmlformats.org/officeDocument/2006/relationships" r:id="rId4"/>
          <a:extLst>
            <a:ext uri="{FF2B5EF4-FFF2-40B4-BE49-F238E27FC236}">
              <a16:creationId xmlns:a16="http://schemas.microsoft.com/office/drawing/2014/main" id="{8D4F208F-E231-45AD-819E-7D2392B78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86591</xdr:colOff>
      <xdr:row>15</xdr:row>
      <xdr:rowOff>173179</xdr:rowOff>
    </xdr:from>
    <xdr:to>
      <xdr:col>3</xdr:col>
      <xdr:colOff>140182</xdr:colOff>
      <xdr:row>19</xdr:row>
      <xdr:rowOff>129816</xdr:rowOff>
    </xdr:to>
    <xdr:graphicFrame macro="">
      <xdr:nvGraphicFramePr>
        <xdr:cNvPr id="2" name="Chart 1">
          <a:hlinkClick xmlns:r="http://schemas.openxmlformats.org/officeDocument/2006/relationships" r:id="rId6"/>
          <a:extLst>
            <a:ext uri="{FF2B5EF4-FFF2-40B4-BE49-F238E27FC236}">
              <a16:creationId xmlns:a16="http://schemas.microsoft.com/office/drawing/2014/main" id="{D816EB2D-4E5B-4D2A-B484-02BF9E0C1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273241</xdr:colOff>
          <xdr:row>0</xdr:row>
          <xdr:rowOff>80819</xdr:rowOff>
        </xdr:from>
        <xdr:to>
          <xdr:col>15</xdr:col>
          <xdr:colOff>254000</xdr:colOff>
          <xdr:row>3</xdr:row>
          <xdr:rowOff>134697</xdr:rowOff>
        </xdr:to>
        <xdr:pic>
          <xdr:nvPicPr>
            <xdr:cNvPr id="14" name="Picture 13">
              <a:extLst>
                <a:ext uri="{FF2B5EF4-FFF2-40B4-BE49-F238E27FC236}">
                  <a16:creationId xmlns:a16="http://schemas.microsoft.com/office/drawing/2014/main" id="{34245904-AAF6-EA0B-951D-E5645FC54666}"/>
                </a:ext>
              </a:extLst>
            </xdr:cNvPr>
            <xdr:cNvPicPr>
              <a:picLocks noChangeAspect="1" noChangeArrowheads="1"/>
              <a:extLst>
                <a:ext uri="{84589F7E-364E-4C9E-8A38-B11213B215E9}">
                  <a14:cameraTool cellRange="'Pivot Report'!$A$48:$D$50" spid="_x0000_s1049"/>
                </a:ext>
              </a:extLst>
            </xdr:cNvPicPr>
          </xdr:nvPicPr>
          <xdr:blipFill>
            <a:blip xmlns:r="http://schemas.openxmlformats.org/officeDocument/2006/relationships" r:embed="rId8"/>
            <a:srcRect/>
            <a:stretch>
              <a:fillRect/>
            </a:stretch>
          </xdr:blipFill>
          <xdr:spPr bwMode="auto">
            <a:xfrm>
              <a:off x="6334605" y="80819"/>
              <a:ext cx="3011440" cy="59940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0</xdr:col>
      <xdr:colOff>8285</xdr:colOff>
      <xdr:row>20</xdr:row>
      <xdr:rowOff>74543</xdr:rowOff>
    </xdr:from>
    <xdr:to>
      <xdr:col>7</xdr:col>
      <xdr:colOff>82828</xdr:colOff>
      <xdr:row>27</xdr:row>
      <xdr:rowOff>101599</xdr:rowOff>
    </xdr:to>
    <xdr:graphicFrame macro="">
      <xdr:nvGraphicFramePr>
        <xdr:cNvPr id="16" name="Chart 15">
          <a:extLst>
            <a:ext uri="{FF2B5EF4-FFF2-40B4-BE49-F238E27FC236}">
              <a16:creationId xmlns:a16="http://schemas.microsoft.com/office/drawing/2014/main" id="{8C279B5E-DE9D-496D-BD4B-A316F9E6B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165801</xdr:colOff>
      <xdr:row>27</xdr:row>
      <xdr:rowOff>57962</xdr:rowOff>
    </xdr:from>
    <xdr:to>
      <xdr:col>5</xdr:col>
      <xdr:colOff>216478</xdr:colOff>
      <xdr:row>28</xdr:row>
      <xdr:rowOff>177776</xdr:rowOff>
    </xdr:to>
    <xdr:sp macro="" textlink="">
      <xdr:nvSpPr>
        <xdr:cNvPr id="17" name="TextBox 16">
          <a:extLst>
            <a:ext uri="{FF2B5EF4-FFF2-40B4-BE49-F238E27FC236}">
              <a16:creationId xmlns:a16="http://schemas.microsoft.com/office/drawing/2014/main" id="{8B0EB007-AA64-776C-2667-A2E3DFDF1A16}"/>
            </a:ext>
          </a:extLst>
        </xdr:cNvPr>
        <xdr:cNvSpPr txBox="1"/>
      </xdr:nvSpPr>
      <xdr:spPr>
        <a:xfrm>
          <a:off x="1378074" y="4967667"/>
          <a:ext cx="1869086" cy="301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t>No.of patient by Age Group</a:t>
          </a:r>
        </a:p>
      </xdr:txBody>
    </xdr:sp>
    <xdr:clientData/>
  </xdr:twoCellAnchor>
  <xdr:twoCellAnchor>
    <xdr:from>
      <xdr:col>3</xdr:col>
      <xdr:colOff>499533</xdr:colOff>
      <xdr:row>4</xdr:row>
      <xdr:rowOff>67733</xdr:rowOff>
    </xdr:from>
    <xdr:to>
      <xdr:col>8</xdr:col>
      <xdr:colOff>129886</xdr:colOff>
      <xdr:row>12</xdr:row>
      <xdr:rowOff>101599</xdr:rowOff>
    </xdr:to>
    <xdr:graphicFrame macro="">
      <xdr:nvGraphicFramePr>
        <xdr:cNvPr id="18" name="Chart 17">
          <a:extLst>
            <a:ext uri="{FF2B5EF4-FFF2-40B4-BE49-F238E27FC236}">
              <a16:creationId xmlns:a16="http://schemas.microsoft.com/office/drawing/2014/main" id="{89A6E5DF-7983-46F2-BAE2-78B7802F9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380999</xdr:colOff>
      <xdr:row>0</xdr:row>
      <xdr:rowOff>101600</xdr:rowOff>
    </xdr:from>
    <xdr:to>
      <xdr:col>3</xdr:col>
      <xdr:colOff>110066</xdr:colOff>
      <xdr:row>2</xdr:row>
      <xdr:rowOff>67734</xdr:rowOff>
    </xdr:to>
    <xdr:pic>
      <xdr:nvPicPr>
        <xdr:cNvPr id="22" name="Graphic 21" descr="Male profile with solid fill">
          <a:extLst>
            <a:ext uri="{FF2B5EF4-FFF2-40B4-BE49-F238E27FC236}">
              <a16:creationId xmlns:a16="http://schemas.microsoft.com/office/drawing/2014/main" id="{05A10696-D2EC-424D-7409-7721451A98D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0199" y="101600"/>
          <a:ext cx="338667" cy="338667"/>
        </a:xfrm>
        <a:prstGeom prst="rect">
          <a:avLst/>
        </a:prstGeom>
      </xdr:spPr>
    </xdr:pic>
    <xdr:clientData/>
  </xdr:twoCellAnchor>
  <xdr:twoCellAnchor editAs="oneCell">
    <xdr:from>
      <xdr:col>2</xdr:col>
      <xdr:colOff>431801</xdr:colOff>
      <xdr:row>7</xdr:row>
      <xdr:rowOff>76199</xdr:rowOff>
    </xdr:from>
    <xdr:to>
      <xdr:col>3</xdr:col>
      <xdr:colOff>118535</xdr:colOff>
      <xdr:row>9</xdr:row>
      <xdr:rowOff>0</xdr:rowOff>
    </xdr:to>
    <xdr:pic>
      <xdr:nvPicPr>
        <xdr:cNvPr id="24" name="Graphic 23" descr="Hourglass Finished with solid fill">
          <a:extLst>
            <a:ext uri="{FF2B5EF4-FFF2-40B4-BE49-F238E27FC236}">
              <a16:creationId xmlns:a16="http://schemas.microsoft.com/office/drawing/2014/main" id="{2F94268C-B974-173C-4F98-6FA4C054A21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51001" y="1380066"/>
          <a:ext cx="296334" cy="296334"/>
        </a:xfrm>
        <a:prstGeom prst="rect">
          <a:avLst/>
        </a:prstGeom>
      </xdr:spPr>
    </xdr:pic>
    <xdr:clientData/>
  </xdr:twoCellAnchor>
  <xdr:twoCellAnchor>
    <xdr:from>
      <xdr:col>10</xdr:col>
      <xdr:colOff>398319</xdr:colOff>
      <xdr:row>4</xdr:row>
      <xdr:rowOff>86591</xdr:rowOff>
    </xdr:from>
    <xdr:to>
      <xdr:col>15</xdr:col>
      <xdr:colOff>190500</xdr:colOff>
      <xdr:row>12</xdr:row>
      <xdr:rowOff>86590</xdr:rowOff>
    </xdr:to>
    <xdr:graphicFrame macro="">
      <xdr:nvGraphicFramePr>
        <xdr:cNvPr id="27" name="Chart 26">
          <a:extLst>
            <a:ext uri="{FF2B5EF4-FFF2-40B4-BE49-F238E27FC236}">
              <a16:creationId xmlns:a16="http://schemas.microsoft.com/office/drawing/2014/main" id="{8B585387-49C3-4C36-A70E-5F11FD7BB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112570</xdr:colOff>
      <xdr:row>12</xdr:row>
      <xdr:rowOff>112568</xdr:rowOff>
    </xdr:from>
    <xdr:to>
      <xdr:col>7</xdr:col>
      <xdr:colOff>303068</xdr:colOff>
      <xdr:row>14</xdr:row>
      <xdr:rowOff>8659</xdr:rowOff>
    </xdr:to>
    <xdr:sp macro="" textlink="">
      <xdr:nvSpPr>
        <xdr:cNvPr id="29" name="TextBox 28">
          <a:extLst>
            <a:ext uri="{FF2B5EF4-FFF2-40B4-BE49-F238E27FC236}">
              <a16:creationId xmlns:a16="http://schemas.microsoft.com/office/drawing/2014/main" id="{9E3D595E-3C0E-82FF-9ACB-A9BCAC477331}"/>
            </a:ext>
          </a:extLst>
        </xdr:cNvPr>
        <xdr:cNvSpPr txBox="1"/>
      </xdr:nvSpPr>
      <xdr:spPr>
        <a:xfrm>
          <a:off x="2537115" y="2294659"/>
          <a:ext cx="2008908"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Patients</a:t>
          </a:r>
          <a:r>
            <a:rPr lang="en-US" sz="1200" b="0" u="none" baseline="0">
              <a:latin typeface="Aptos Display" panose="020B0004020202020204" pitchFamily="34" charset="0"/>
            </a:rPr>
            <a:t> attended Time Status</a:t>
          </a:r>
          <a:endParaRPr lang="en-US" sz="1200" b="0" u="none">
            <a:latin typeface="Aptos Display" panose="020B0004020202020204" pitchFamily="34" charset="0"/>
          </a:endParaRPr>
        </a:p>
      </xdr:txBody>
    </xdr:sp>
    <xdr:clientData/>
  </xdr:twoCellAnchor>
  <xdr:twoCellAnchor>
    <xdr:from>
      <xdr:col>11</xdr:col>
      <xdr:colOff>109107</xdr:colOff>
      <xdr:row>12</xdr:row>
      <xdr:rowOff>112568</xdr:rowOff>
    </xdr:from>
    <xdr:to>
      <xdr:col>14</xdr:col>
      <xdr:colOff>207818</xdr:colOff>
      <xdr:row>14</xdr:row>
      <xdr:rowOff>25977</xdr:rowOff>
    </xdr:to>
    <xdr:sp macro="" textlink="">
      <xdr:nvSpPr>
        <xdr:cNvPr id="35" name="TextBox 34">
          <a:extLst>
            <a:ext uri="{FF2B5EF4-FFF2-40B4-BE49-F238E27FC236}">
              <a16:creationId xmlns:a16="http://schemas.microsoft.com/office/drawing/2014/main" id="{8265F318-F842-AEDE-1FC8-0F827E3E5724}"/>
            </a:ext>
          </a:extLst>
        </xdr:cNvPr>
        <xdr:cNvSpPr txBox="1"/>
      </xdr:nvSpPr>
      <xdr:spPr>
        <a:xfrm>
          <a:off x="6776607" y="2294659"/>
          <a:ext cx="1917120"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u="none">
              <a:latin typeface="Aptos Display" panose="020B0004020202020204" pitchFamily="34" charset="0"/>
            </a:rPr>
            <a:t>No.</a:t>
          </a:r>
          <a:r>
            <a:rPr lang="en-US" sz="1200" b="0" u="none" baseline="0">
              <a:latin typeface="Aptos Display" panose="020B0004020202020204" pitchFamily="34" charset="0"/>
            </a:rPr>
            <a:t>of Patients by Gender</a:t>
          </a:r>
          <a:endParaRPr lang="en-US" sz="1200" b="0" u="none">
            <a:latin typeface="Aptos Display" panose="020B0004020202020204" pitchFamily="34" charset="0"/>
          </a:endParaRPr>
        </a:p>
      </xdr:txBody>
    </xdr:sp>
    <xdr:clientData/>
  </xdr:twoCellAnchor>
  <xdr:twoCellAnchor>
    <xdr:from>
      <xdr:col>7</xdr:col>
      <xdr:colOff>450271</xdr:colOff>
      <xdr:row>14</xdr:row>
      <xdr:rowOff>164522</xdr:rowOff>
    </xdr:from>
    <xdr:to>
      <xdr:col>15</xdr:col>
      <xdr:colOff>251114</xdr:colOff>
      <xdr:row>27</xdr:row>
      <xdr:rowOff>86590</xdr:rowOff>
    </xdr:to>
    <xdr:graphicFrame macro="">
      <xdr:nvGraphicFramePr>
        <xdr:cNvPr id="37" name="Chart 36">
          <a:extLst>
            <a:ext uri="{FF2B5EF4-FFF2-40B4-BE49-F238E27FC236}">
              <a16:creationId xmlns:a16="http://schemas.microsoft.com/office/drawing/2014/main" id="{E920C2FD-198B-4FF9-99E2-2BC33A0F2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43295</xdr:colOff>
      <xdr:row>26</xdr:row>
      <xdr:rowOff>147205</xdr:rowOff>
    </xdr:from>
    <xdr:to>
      <xdr:col>13</xdr:col>
      <xdr:colOff>86591</xdr:colOff>
      <xdr:row>28</xdr:row>
      <xdr:rowOff>117162</xdr:rowOff>
    </xdr:to>
    <xdr:sp macro="" textlink="">
      <xdr:nvSpPr>
        <xdr:cNvPr id="38" name="TextBox 37">
          <a:extLst>
            <a:ext uri="{FF2B5EF4-FFF2-40B4-BE49-F238E27FC236}">
              <a16:creationId xmlns:a16="http://schemas.microsoft.com/office/drawing/2014/main" id="{7C2EF766-8907-023F-FBAC-62775E57BEF3}"/>
            </a:ext>
          </a:extLst>
        </xdr:cNvPr>
        <xdr:cNvSpPr txBox="1"/>
      </xdr:nvSpPr>
      <xdr:spPr>
        <a:xfrm>
          <a:off x="6104659" y="4875069"/>
          <a:ext cx="1861705" cy="333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t>No.of patient by Department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14</xdr:col>
      <xdr:colOff>0</xdr:colOff>
      <xdr:row>11</xdr:row>
      <xdr:rowOff>114300</xdr:rowOff>
    </xdr:to>
    <xdr:graphicFrame macro="">
      <xdr:nvGraphicFramePr>
        <xdr:cNvPr id="2" name="Chart 1">
          <a:extLst>
            <a:ext uri="{FF2B5EF4-FFF2-40B4-BE49-F238E27FC236}">
              <a16:creationId xmlns:a16="http://schemas.microsoft.com/office/drawing/2014/main" id="{29CA30A5-01DD-4910-9163-097FAE714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0</xdr:row>
      <xdr:rowOff>38100</xdr:rowOff>
    </xdr:from>
    <xdr:to>
      <xdr:col>0</xdr:col>
      <xdr:colOff>396240</xdr:colOff>
      <xdr:row>2</xdr:row>
      <xdr:rowOff>45720</xdr:rowOff>
    </xdr:to>
    <xdr:pic>
      <xdr:nvPicPr>
        <xdr:cNvPr id="4" name="Graphic 3" descr="Close with solid fill">
          <a:hlinkClick xmlns:r="http://schemas.openxmlformats.org/officeDocument/2006/relationships" r:id="rId2"/>
          <a:extLst>
            <a:ext uri="{FF2B5EF4-FFF2-40B4-BE49-F238E27FC236}">
              <a16:creationId xmlns:a16="http://schemas.microsoft.com/office/drawing/2014/main" id="{431A8E91-4467-4AFA-7FE6-E9DF2F9FFD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 y="38100"/>
          <a:ext cx="373380" cy="373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594360</xdr:colOff>
      <xdr:row>17</xdr:row>
      <xdr:rowOff>45720</xdr:rowOff>
    </xdr:to>
    <xdr:graphicFrame macro="">
      <xdr:nvGraphicFramePr>
        <xdr:cNvPr id="3" name="Chart 2">
          <a:extLst>
            <a:ext uri="{FF2B5EF4-FFF2-40B4-BE49-F238E27FC236}">
              <a16:creationId xmlns:a16="http://schemas.microsoft.com/office/drawing/2014/main" id="{37254C29-CCCA-4054-AAF6-F3866F8D4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502920</xdr:colOff>
      <xdr:row>2</xdr:row>
      <xdr:rowOff>137160</xdr:rowOff>
    </xdr:to>
    <xdr:pic>
      <xdr:nvPicPr>
        <xdr:cNvPr id="5" name="Graphic 4" descr="Close with solid fill">
          <a:hlinkClick xmlns:r="http://schemas.openxmlformats.org/officeDocument/2006/relationships" r:id="rId2"/>
          <a:extLst>
            <a:ext uri="{FF2B5EF4-FFF2-40B4-BE49-F238E27FC236}">
              <a16:creationId xmlns:a16="http://schemas.microsoft.com/office/drawing/2014/main" id="{9FEB8630-048E-1CCD-F4A9-BEFD6F3D7F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02920" cy="5029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38100</xdr:colOff>
      <xdr:row>13</xdr:row>
      <xdr:rowOff>45720</xdr:rowOff>
    </xdr:to>
    <xdr:graphicFrame macro="">
      <xdr:nvGraphicFramePr>
        <xdr:cNvPr id="2" name="Chart 1">
          <a:extLst>
            <a:ext uri="{FF2B5EF4-FFF2-40B4-BE49-F238E27FC236}">
              <a16:creationId xmlns:a16="http://schemas.microsoft.com/office/drawing/2014/main" id="{FB9F031D-B329-4AB6-AE53-20E2BE0E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0.05156</cdr:x>
      <cdr:y>0.18239</cdr:y>
    </cdr:to>
    <cdr:pic>
      <cdr:nvPicPr>
        <cdr:cNvPr id="3" name="Graphic 2" descr="Clo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F5F2D4-FE61-B229-F376-4614EE1CA6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41960" cy="44196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4953702" createdVersion="5" refreshedVersion="8" minRefreshableVersion="3" recordCount="0" supportSubquery="1" supportAdvancedDrill="1" xr:uid="{03B482A9-C1BE-4EA9-9977-96392612D1E2}">
  <cacheSource type="external" connectionId="4"/>
  <cacheFields count="3">
    <cacheField name="[Measures].[Count of Patient Id.1]" caption="Count of Patient Id.1" numFmtId="0" hierarchy="21"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5069441" createdVersion="5" refreshedVersion="8" minRefreshableVersion="3" recordCount="0" supportSubquery="1" supportAdvancedDrill="1" xr:uid="{BD8E151C-927F-429A-B8D2-310EAE06AC74}">
  <cacheSource type="external" connectionId="4"/>
  <cacheFields count="2">
    <cacheField name="[Measures].[Count of Patient Id.1]" caption="Count of Patient Id.1" numFmtId="0" hierarchy="21" level="32767"/>
    <cacheField name="[Calendar_Table].[Date (Month)].[Date (Month)]" caption="Date (Month)"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5185187" createdVersion="5" refreshedVersion="8" minRefreshableVersion="3" recordCount="0" supportSubquery="1" supportAdvancedDrill="1" xr:uid="{F3B958B9-83D0-428C-BB3B-1B6CEE4C613A}">
  <cacheSource type="external" connectionId="4"/>
  <cacheFields count="2">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5416664" createdVersion="5" refreshedVersion="8" minRefreshableVersion="3" recordCount="0" supportSubquery="1" supportAdvancedDrill="1" xr:uid="{72BE4220-4685-4F0A-8653-02BC40EFF336}">
  <cacheSource type="external" connectionId="4"/>
  <cacheFields count="2">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5879626" createdVersion="5" refreshedVersion="8" minRefreshableVersion="3" recordCount="0" supportSubquery="1" supportAdvancedDrill="1" xr:uid="{79B622B7-ABFC-47CC-AAE6-9C2CACBB35D4}">
  <cacheSource type="external" connectionId="4"/>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6226849" createdVersion="5" refreshedVersion="8" minRefreshableVersion="3" recordCount="0" supportSubquery="1" supportAdvancedDrill="1" xr:uid="{5A661D35-ECED-454B-9806-B69A89ADD4FA}">
  <cacheSource type="external" connectionId="4"/>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6574073" createdVersion="5" refreshedVersion="8" minRefreshableVersion="3" recordCount="0" supportSubquery="1" supportAdvancedDrill="1" xr:uid="{236159C5-798E-487F-8D41-E1D784CE64C9}">
  <cacheSource type="external" connectionId="4"/>
  <cacheFields count="4">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8" level="32767"/>
    <cacheField name="[hospital_dataset_datetime].[Patient Admission Flag].[Patient Admission Flag]" caption="Patient Admission Flag" numFmtId="0" hierarchy="10" level="1">
      <sharedItems count="2">
        <s v="Admitted"/>
        <s v="Not Admitted"/>
      </sharedItems>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2" memberValueDatatype="130" unbalanced="0">
      <fieldsUsage count="2">
        <fieldUsage x="-1"/>
        <fieldUsage x="2"/>
      </fieldsUsage>
    </cacheHierarchy>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6921296" createdVersion="5" refreshedVersion="8" minRefreshableVersion="3" recordCount="0" supportSubquery="1" supportAdvancedDrill="1" xr:uid="{E682EBFC-E2F5-4A85-9474-9581FC253056}">
  <cacheSource type="external" connectionId="4"/>
  <cacheFields count="3">
    <cacheField name="[Calendar_Table].[Date (Month)].[Date (Month)]" caption="Date (Month)" numFmtId="0" hierarchy="1" level="1">
      <sharedItems containsSemiMixedTypes="0" containsNonDate="0" containsString="0"/>
    </cacheField>
    <cacheField name="[hospital_dataset_datetime].[Age Group].[Age Group]" caption="Age Group" numFmtId="0" hierarchy="14" level="1">
      <sharedItems count="7">
        <s v="10-19"/>
        <s v="20-29"/>
        <s v="30-39"/>
        <s v="40-49"/>
        <s v="50-59"/>
        <s v="60-69"/>
        <s v="70-79"/>
      </sharedItems>
    </cacheField>
    <cacheField name="[Measures].[Count of Age Group]" caption="Count of Age Group" numFmtId="0" hierarchy="29"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2" memberValueDatatype="130" unbalanced="0">
      <fieldsUsage count="2">
        <fieldUsage x="-1"/>
        <fieldUsage x="1"/>
      </fieldsUsage>
    </cacheHierarchy>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7268519" createdVersion="5" refreshedVersion="8" minRefreshableVersion="3" recordCount="0" supportSubquery="1" supportAdvancedDrill="1" xr:uid="{220FE98F-06FC-457F-9B54-A38AD8D3D443}">
  <cacheSource type="external" connectionId="4"/>
  <cacheFields count="4">
    <cacheField name="[Calendar_Table].[Date (Month)].[Date (Month)]" caption="Date (Month)" numFmtId="0" hierarchy="1" level="1">
      <sharedItems containsSemiMixedTypes="0" containsNonDate="0" containsString="0"/>
    </cacheField>
    <cacheField name="[hospital_dataset_datetime].[Patient Waittime].[Patient Waittime]" caption="Patient Waittime" numFmtId="0" hierarchy="12" level="1">
      <sharedItems containsSemiMixedTypes="0" containsString="0" containsNumber="1" containsInteger="1" minValue="5" maxValue="119" count="108">
        <n v="5"/>
        <n v="6"/>
        <n v="7"/>
        <n v="8"/>
        <n v="9"/>
        <n v="10"/>
        <n v="12"/>
        <n v="13"/>
        <n v="14"/>
        <n v="15"/>
        <n v="16"/>
        <n v="17"/>
        <n v="18"/>
        <n v="19"/>
        <n v="20"/>
        <n v="21"/>
        <n v="22"/>
        <n v="23"/>
        <n v="24"/>
        <n v="25"/>
        <n v="26"/>
        <n v="27"/>
        <n v="28"/>
        <n v="29"/>
        <n v="30"/>
        <n v="31"/>
        <n v="32"/>
        <n v="33"/>
        <n v="35"/>
        <n v="36"/>
        <n v="37"/>
        <n v="38"/>
        <n v="40"/>
        <n v="41"/>
        <n v="42"/>
        <n v="43"/>
        <n v="44"/>
        <n v="45"/>
        <n v="46"/>
        <n v="47"/>
        <n v="48"/>
        <n v="49"/>
        <n v="50"/>
        <n v="51"/>
        <n v="52"/>
        <n v="53"/>
        <n v="55"/>
        <n v="56"/>
        <n v="57"/>
        <n v="58"/>
        <n v="59"/>
        <n v="60"/>
        <n v="61"/>
        <n v="62"/>
        <n v="63"/>
        <n v="64"/>
        <n v="65"/>
        <n v="66"/>
        <n v="67"/>
        <n v="68"/>
        <n v="69"/>
        <n v="70"/>
        <n v="71"/>
        <n v="72"/>
        <n v="73"/>
        <n v="74"/>
        <n v="75"/>
        <n v="76"/>
        <n v="77"/>
        <n v="78"/>
        <n v="79"/>
        <n v="81"/>
        <n v="82"/>
        <n v="83"/>
        <n v="84"/>
        <n v="85"/>
        <n v="86"/>
        <n v="87"/>
        <n v="88"/>
        <n v="90"/>
        <n v="91"/>
        <n v="92"/>
        <n v="93"/>
        <n v="94"/>
        <n v="95"/>
        <n v="96"/>
        <n v="97"/>
        <n v="99"/>
        <n v="100"/>
        <n v="101"/>
        <n v="102"/>
        <n v="103"/>
        <n v="104"/>
        <n v="105"/>
        <n v="106"/>
        <n v="107"/>
        <n v="108"/>
        <n v="109"/>
        <n v="110"/>
        <n v="111"/>
        <n v="112"/>
        <n v="113"/>
        <n v="114"/>
        <n v="115"/>
        <n v="116"/>
        <n v="117"/>
        <n v="118"/>
        <n v="119"/>
      </sharedItems>
      <extLst>
        <ext xmlns:x15="http://schemas.microsoft.com/office/spreadsheetml/2010/11/main" uri="{4F2E5C28-24EA-4eb8-9CBF-B6C8F9C3D259}">
          <x15:cachedUniqueNames>
            <x15:cachedUniqueName index="0" name="[hospital_dataset_datetime].[Patient Waittime].&amp;[5]"/>
            <x15:cachedUniqueName index="1" name="[hospital_dataset_datetime].[Patient Waittime].&amp;[6]"/>
            <x15:cachedUniqueName index="2" name="[hospital_dataset_datetime].[Patient Waittime].&amp;[7]"/>
            <x15:cachedUniqueName index="3" name="[hospital_dataset_datetime].[Patient Waittime].&amp;[8]"/>
            <x15:cachedUniqueName index="4" name="[hospital_dataset_datetime].[Patient Waittime].&amp;[9]"/>
            <x15:cachedUniqueName index="5" name="[hospital_dataset_datetime].[Patient Waittime].&amp;[10]"/>
            <x15:cachedUniqueName index="6" name="[hospital_dataset_datetime].[Patient Waittime].&amp;[12]"/>
            <x15:cachedUniqueName index="7" name="[hospital_dataset_datetime].[Patient Waittime].&amp;[13]"/>
            <x15:cachedUniqueName index="8" name="[hospital_dataset_datetime].[Patient Waittime].&amp;[14]"/>
            <x15:cachedUniqueName index="9" name="[hospital_dataset_datetime].[Patient Waittime].&amp;[15]"/>
            <x15:cachedUniqueName index="10" name="[hospital_dataset_datetime].[Patient Waittime].&amp;[16]"/>
            <x15:cachedUniqueName index="11" name="[hospital_dataset_datetime].[Patient Waittime].&amp;[17]"/>
            <x15:cachedUniqueName index="12" name="[hospital_dataset_datetime].[Patient Waittime].&amp;[18]"/>
            <x15:cachedUniqueName index="13" name="[hospital_dataset_datetime].[Patient Waittime].&amp;[19]"/>
            <x15:cachedUniqueName index="14" name="[hospital_dataset_datetime].[Patient Waittime].&amp;[20]"/>
            <x15:cachedUniqueName index="15" name="[hospital_dataset_datetime].[Patient Waittime].&amp;[21]"/>
            <x15:cachedUniqueName index="16" name="[hospital_dataset_datetime].[Patient Waittime].&amp;[22]"/>
            <x15:cachedUniqueName index="17" name="[hospital_dataset_datetime].[Patient Waittime].&amp;[23]"/>
            <x15:cachedUniqueName index="18" name="[hospital_dataset_datetime].[Patient Waittime].&amp;[24]"/>
            <x15:cachedUniqueName index="19" name="[hospital_dataset_datetime].[Patient Waittime].&amp;[25]"/>
            <x15:cachedUniqueName index="20" name="[hospital_dataset_datetime].[Patient Waittime].&amp;[26]"/>
            <x15:cachedUniqueName index="21" name="[hospital_dataset_datetime].[Patient Waittime].&amp;[27]"/>
            <x15:cachedUniqueName index="22" name="[hospital_dataset_datetime].[Patient Waittime].&amp;[28]"/>
            <x15:cachedUniqueName index="23" name="[hospital_dataset_datetime].[Patient Waittime].&amp;[29]"/>
            <x15:cachedUniqueName index="24" name="[hospital_dataset_datetime].[Patient Waittime].&amp;[30]"/>
            <x15:cachedUniqueName index="25" name="[hospital_dataset_datetime].[Patient Waittime].&amp;[31]"/>
            <x15:cachedUniqueName index="26" name="[hospital_dataset_datetime].[Patient Waittime].&amp;[32]"/>
            <x15:cachedUniqueName index="27" name="[hospital_dataset_datetime].[Patient Waittime].&amp;[33]"/>
            <x15:cachedUniqueName index="28" name="[hospital_dataset_datetime].[Patient Waittime].&amp;[35]"/>
            <x15:cachedUniqueName index="29" name="[hospital_dataset_datetime].[Patient Waittime].&amp;[36]"/>
            <x15:cachedUniqueName index="30" name="[hospital_dataset_datetime].[Patient Waittime].&amp;[37]"/>
            <x15:cachedUniqueName index="31" name="[hospital_dataset_datetime].[Patient Waittime].&amp;[38]"/>
            <x15:cachedUniqueName index="32" name="[hospital_dataset_datetime].[Patient Waittime].&amp;[40]"/>
            <x15:cachedUniqueName index="33" name="[hospital_dataset_datetime].[Patient Waittime].&amp;[41]"/>
            <x15:cachedUniqueName index="34" name="[hospital_dataset_datetime].[Patient Waittime].&amp;[42]"/>
            <x15:cachedUniqueName index="35" name="[hospital_dataset_datetime].[Patient Waittime].&amp;[43]"/>
            <x15:cachedUniqueName index="36" name="[hospital_dataset_datetime].[Patient Waittime].&amp;[44]"/>
            <x15:cachedUniqueName index="37" name="[hospital_dataset_datetime].[Patient Waittime].&amp;[45]"/>
            <x15:cachedUniqueName index="38" name="[hospital_dataset_datetime].[Patient Waittime].&amp;[46]"/>
            <x15:cachedUniqueName index="39" name="[hospital_dataset_datetime].[Patient Waittime].&amp;[47]"/>
            <x15:cachedUniqueName index="40" name="[hospital_dataset_datetime].[Patient Waittime].&amp;[48]"/>
            <x15:cachedUniqueName index="41" name="[hospital_dataset_datetime].[Patient Waittime].&amp;[49]"/>
            <x15:cachedUniqueName index="42" name="[hospital_dataset_datetime].[Patient Waittime].&amp;[50]"/>
            <x15:cachedUniqueName index="43" name="[hospital_dataset_datetime].[Patient Waittime].&amp;[51]"/>
            <x15:cachedUniqueName index="44" name="[hospital_dataset_datetime].[Patient Waittime].&amp;[52]"/>
            <x15:cachedUniqueName index="45" name="[hospital_dataset_datetime].[Patient Waittime].&amp;[53]"/>
            <x15:cachedUniqueName index="46" name="[hospital_dataset_datetime].[Patient Waittime].&amp;[55]"/>
            <x15:cachedUniqueName index="47" name="[hospital_dataset_datetime].[Patient Waittime].&amp;[56]"/>
            <x15:cachedUniqueName index="48" name="[hospital_dataset_datetime].[Patient Waittime].&amp;[57]"/>
            <x15:cachedUniqueName index="49" name="[hospital_dataset_datetime].[Patient Waittime].&amp;[58]"/>
            <x15:cachedUniqueName index="50" name="[hospital_dataset_datetime].[Patient Waittime].&amp;[59]"/>
            <x15:cachedUniqueName index="51" name="[hospital_dataset_datetime].[Patient Waittime].&amp;[60]"/>
            <x15:cachedUniqueName index="52" name="[hospital_dataset_datetime].[Patient Waittime].&amp;[61]"/>
            <x15:cachedUniqueName index="53" name="[hospital_dataset_datetime].[Patient Waittime].&amp;[62]"/>
            <x15:cachedUniqueName index="54" name="[hospital_dataset_datetime].[Patient Waittime].&amp;[63]"/>
            <x15:cachedUniqueName index="55" name="[hospital_dataset_datetime].[Patient Waittime].&amp;[64]"/>
            <x15:cachedUniqueName index="56" name="[hospital_dataset_datetime].[Patient Waittime].&amp;[65]"/>
            <x15:cachedUniqueName index="57" name="[hospital_dataset_datetime].[Patient Waittime].&amp;[66]"/>
            <x15:cachedUniqueName index="58" name="[hospital_dataset_datetime].[Patient Waittime].&amp;[67]"/>
            <x15:cachedUniqueName index="59" name="[hospital_dataset_datetime].[Patient Waittime].&amp;[68]"/>
            <x15:cachedUniqueName index="60" name="[hospital_dataset_datetime].[Patient Waittime].&amp;[69]"/>
            <x15:cachedUniqueName index="61" name="[hospital_dataset_datetime].[Patient Waittime].&amp;[70]"/>
            <x15:cachedUniqueName index="62" name="[hospital_dataset_datetime].[Patient Waittime].&amp;[71]"/>
            <x15:cachedUniqueName index="63" name="[hospital_dataset_datetime].[Patient Waittime].&amp;[72]"/>
            <x15:cachedUniqueName index="64" name="[hospital_dataset_datetime].[Patient Waittime].&amp;[73]"/>
            <x15:cachedUniqueName index="65" name="[hospital_dataset_datetime].[Patient Waittime].&amp;[74]"/>
            <x15:cachedUniqueName index="66" name="[hospital_dataset_datetime].[Patient Waittime].&amp;[75]"/>
            <x15:cachedUniqueName index="67" name="[hospital_dataset_datetime].[Patient Waittime].&amp;[76]"/>
            <x15:cachedUniqueName index="68" name="[hospital_dataset_datetime].[Patient Waittime].&amp;[77]"/>
            <x15:cachedUniqueName index="69" name="[hospital_dataset_datetime].[Patient Waittime].&amp;[78]"/>
            <x15:cachedUniqueName index="70" name="[hospital_dataset_datetime].[Patient Waittime].&amp;[79]"/>
            <x15:cachedUniqueName index="71" name="[hospital_dataset_datetime].[Patient Waittime].&amp;[81]"/>
            <x15:cachedUniqueName index="72" name="[hospital_dataset_datetime].[Patient Waittime].&amp;[82]"/>
            <x15:cachedUniqueName index="73" name="[hospital_dataset_datetime].[Patient Waittime].&amp;[83]"/>
            <x15:cachedUniqueName index="74" name="[hospital_dataset_datetime].[Patient Waittime].&amp;[84]"/>
            <x15:cachedUniqueName index="75" name="[hospital_dataset_datetime].[Patient Waittime].&amp;[85]"/>
            <x15:cachedUniqueName index="76" name="[hospital_dataset_datetime].[Patient Waittime].&amp;[86]"/>
            <x15:cachedUniqueName index="77" name="[hospital_dataset_datetime].[Patient Waittime].&amp;[87]"/>
            <x15:cachedUniqueName index="78" name="[hospital_dataset_datetime].[Patient Waittime].&amp;[88]"/>
            <x15:cachedUniqueName index="79" name="[hospital_dataset_datetime].[Patient Waittime].&amp;[90]"/>
            <x15:cachedUniqueName index="80" name="[hospital_dataset_datetime].[Patient Waittime].&amp;[91]"/>
            <x15:cachedUniqueName index="81" name="[hospital_dataset_datetime].[Patient Waittime].&amp;[92]"/>
            <x15:cachedUniqueName index="82" name="[hospital_dataset_datetime].[Patient Waittime].&amp;[93]"/>
            <x15:cachedUniqueName index="83" name="[hospital_dataset_datetime].[Patient Waittime].&amp;[94]"/>
            <x15:cachedUniqueName index="84" name="[hospital_dataset_datetime].[Patient Waittime].&amp;[95]"/>
            <x15:cachedUniqueName index="85" name="[hospital_dataset_datetime].[Patient Waittime].&amp;[96]"/>
            <x15:cachedUniqueName index="86" name="[hospital_dataset_datetime].[Patient Waittime].&amp;[97]"/>
            <x15:cachedUniqueName index="87" name="[hospital_dataset_datetime].[Patient Waittime].&amp;[99]"/>
            <x15:cachedUniqueName index="88" name="[hospital_dataset_datetime].[Patient Waittime].&amp;[100]"/>
            <x15:cachedUniqueName index="89" name="[hospital_dataset_datetime].[Patient Waittime].&amp;[101]"/>
            <x15:cachedUniqueName index="90" name="[hospital_dataset_datetime].[Patient Waittime].&amp;[102]"/>
            <x15:cachedUniqueName index="91" name="[hospital_dataset_datetime].[Patient Waittime].&amp;[103]"/>
            <x15:cachedUniqueName index="92" name="[hospital_dataset_datetime].[Patient Waittime].&amp;[104]"/>
            <x15:cachedUniqueName index="93" name="[hospital_dataset_datetime].[Patient Waittime].&amp;[105]"/>
            <x15:cachedUniqueName index="94" name="[hospital_dataset_datetime].[Patient Waittime].&amp;[106]"/>
            <x15:cachedUniqueName index="95" name="[hospital_dataset_datetime].[Patient Waittime].&amp;[107]"/>
            <x15:cachedUniqueName index="96" name="[hospital_dataset_datetime].[Patient Waittime].&amp;[108]"/>
            <x15:cachedUniqueName index="97" name="[hospital_dataset_datetime].[Patient Waittime].&amp;[109]"/>
            <x15:cachedUniqueName index="98" name="[hospital_dataset_datetime].[Patient Waittime].&amp;[110]"/>
            <x15:cachedUniqueName index="99" name="[hospital_dataset_datetime].[Patient Waittime].&amp;[111]"/>
            <x15:cachedUniqueName index="100" name="[hospital_dataset_datetime].[Patient Waittime].&amp;[112]"/>
            <x15:cachedUniqueName index="101" name="[hospital_dataset_datetime].[Patient Waittime].&amp;[113]"/>
            <x15:cachedUniqueName index="102" name="[hospital_dataset_datetime].[Patient Waittime].&amp;[114]"/>
            <x15:cachedUniqueName index="103" name="[hospital_dataset_datetime].[Patient Waittime].&amp;[115]"/>
            <x15:cachedUniqueName index="104" name="[hospital_dataset_datetime].[Patient Waittime].&amp;[116]"/>
            <x15:cachedUniqueName index="105" name="[hospital_dataset_datetime].[Patient Waittime].&amp;[117]"/>
            <x15:cachedUniqueName index="106" name="[hospital_dataset_datetime].[Patient Waittime].&amp;[118]"/>
            <x15:cachedUniqueName index="107" name="[hospital_dataset_datetime].[Patient Waittime].&amp;[119]"/>
          </x15:cachedUniqueNames>
        </ext>
      </extLst>
    </cacheField>
    <cacheField name="[hospital_dataset_datetime].[Calculated Column 1].[Calculated Column 1]" caption="Calculated Column 1" numFmtId="0" hierarchy="15" level="1">
      <sharedItems count="2">
        <s v="Delay"/>
        <s v="OnTime"/>
      </sharedItems>
    </cacheField>
    <cacheField name="[Measures].[Count of Calculated Column 1]" caption="Count of Calculated Column 1" numFmtId="0" hierarchy="31"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2" memberValueDatatype="20" unbalanced="0">
      <fieldsUsage count="2">
        <fieldUsage x="-1"/>
        <fieldUsage x="1"/>
      </fieldsUsage>
    </cacheHierarchy>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7615742" createdVersion="5" refreshedVersion="8" minRefreshableVersion="3" recordCount="0" supportSubquery="1" supportAdvancedDrill="1" xr:uid="{3596FF12-8768-4D8E-B200-77BDAD4F68CE}">
  <cacheSource type="external" connectionId="4"/>
  <cacheFields count="4">
    <cacheField name="[Calendar_Table].[Date (Month)].[Date (Month)]" caption="Date (Month)" numFmtId="0" hierarchy="1" level="1">
      <sharedItems containsSemiMixedTypes="0" containsNonDate="0" containsString="0"/>
    </cacheField>
    <cacheField name="[hospital_dataset_datetime].[Patient Waittime].[Patient Waittime]" caption="Patient Waittime" numFmtId="0" hierarchy="12" level="1">
      <sharedItems containsSemiMixedTypes="0" containsString="0" containsNumber="1" containsInteger="1" minValue="5" maxValue="119" count="108">
        <n v="5"/>
        <n v="6"/>
        <n v="7"/>
        <n v="8"/>
        <n v="9"/>
        <n v="10"/>
        <n v="12"/>
        <n v="13"/>
        <n v="14"/>
        <n v="15"/>
        <n v="16"/>
        <n v="17"/>
        <n v="18"/>
        <n v="19"/>
        <n v="20"/>
        <n v="21"/>
        <n v="22"/>
        <n v="23"/>
        <n v="24"/>
        <n v="25"/>
        <n v="26"/>
        <n v="27"/>
        <n v="28"/>
        <n v="29"/>
        <n v="30"/>
        <n v="31"/>
        <n v="32"/>
        <n v="33"/>
        <n v="35"/>
        <n v="36"/>
        <n v="37"/>
        <n v="38"/>
        <n v="40"/>
        <n v="41"/>
        <n v="42"/>
        <n v="43"/>
        <n v="44"/>
        <n v="45"/>
        <n v="46"/>
        <n v="47"/>
        <n v="48"/>
        <n v="49"/>
        <n v="50"/>
        <n v="51"/>
        <n v="52"/>
        <n v="53"/>
        <n v="55"/>
        <n v="56"/>
        <n v="57"/>
        <n v="58"/>
        <n v="59"/>
        <n v="60"/>
        <n v="61"/>
        <n v="62"/>
        <n v="63"/>
        <n v="64"/>
        <n v="65"/>
        <n v="66"/>
        <n v="67"/>
        <n v="68"/>
        <n v="69"/>
        <n v="70"/>
        <n v="71"/>
        <n v="72"/>
        <n v="73"/>
        <n v="74"/>
        <n v="75"/>
        <n v="76"/>
        <n v="77"/>
        <n v="78"/>
        <n v="79"/>
        <n v="81"/>
        <n v="82"/>
        <n v="83"/>
        <n v="84"/>
        <n v="85"/>
        <n v="86"/>
        <n v="87"/>
        <n v="88"/>
        <n v="90"/>
        <n v="91"/>
        <n v="92"/>
        <n v="93"/>
        <n v="94"/>
        <n v="95"/>
        <n v="96"/>
        <n v="97"/>
        <n v="99"/>
        <n v="100"/>
        <n v="101"/>
        <n v="102"/>
        <n v="103"/>
        <n v="104"/>
        <n v="105"/>
        <n v="106"/>
        <n v="107"/>
        <n v="108"/>
        <n v="109"/>
        <n v="110"/>
        <n v="111"/>
        <n v="112"/>
        <n v="113"/>
        <n v="114"/>
        <n v="115"/>
        <n v="116"/>
        <n v="117"/>
        <n v="118"/>
        <n v="119"/>
      </sharedItems>
      <extLst>
        <ext xmlns:x15="http://schemas.microsoft.com/office/spreadsheetml/2010/11/main" uri="{4F2E5C28-24EA-4eb8-9CBF-B6C8F9C3D259}">
          <x15:cachedUniqueNames>
            <x15:cachedUniqueName index="0" name="[hospital_dataset_datetime].[Patient Waittime].&amp;[5]"/>
            <x15:cachedUniqueName index="1" name="[hospital_dataset_datetime].[Patient Waittime].&amp;[6]"/>
            <x15:cachedUniqueName index="2" name="[hospital_dataset_datetime].[Patient Waittime].&amp;[7]"/>
            <x15:cachedUniqueName index="3" name="[hospital_dataset_datetime].[Patient Waittime].&amp;[8]"/>
            <x15:cachedUniqueName index="4" name="[hospital_dataset_datetime].[Patient Waittime].&amp;[9]"/>
            <x15:cachedUniqueName index="5" name="[hospital_dataset_datetime].[Patient Waittime].&amp;[10]"/>
            <x15:cachedUniqueName index="6" name="[hospital_dataset_datetime].[Patient Waittime].&amp;[12]"/>
            <x15:cachedUniqueName index="7" name="[hospital_dataset_datetime].[Patient Waittime].&amp;[13]"/>
            <x15:cachedUniqueName index="8" name="[hospital_dataset_datetime].[Patient Waittime].&amp;[14]"/>
            <x15:cachedUniqueName index="9" name="[hospital_dataset_datetime].[Patient Waittime].&amp;[15]"/>
            <x15:cachedUniqueName index="10" name="[hospital_dataset_datetime].[Patient Waittime].&amp;[16]"/>
            <x15:cachedUniqueName index="11" name="[hospital_dataset_datetime].[Patient Waittime].&amp;[17]"/>
            <x15:cachedUniqueName index="12" name="[hospital_dataset_datetime].[Patient Waittime].&amp;[18]"/>
            <x15:cachedUniqueName index="13" name="[hospital_dataset_datetime].[Patient Waittime].&amp;[19]"/>
            <x15:cachedUniqueName index="14" name="[hospital_dataset_datetime].[Patient Waittime].&amp;[20]"/>
            <x15:cachedUniqueName index="15" name="[hospital_dataset_datetime].[Patient Waittime].&amp;[21]"/>
            <x15:cachedUniqueName index="16" name="[hospital_dataset_datetime].[Patient Waittime].&amp;[22]"/>
            <x15:cachedUniqueName index="17" name="[hospital_dataset_datetime].[Patient Waittime].&amp;[23]"/>
            <x15:cachedUniqueName index="18" name="[hospital_dataset_datetime].[Patient Waittime].&amp;[24]"/>
            <x15:cachedUniqueName index="19" name="[hospital_dataset_datetime].[Patient Waittime].&amp;[25]"/>
            <x15:cachedUniqueName index="20" name="[hospital_dataset_datetime].[Patient Waittime].&amp;[26]"/>
            <x15:cachedUniqueName index="21" name="[hospital_dataset_datetime].[Patient Waittime].&amp;[27]"/>
            <x15:cachedUniqueName index="22" name="[hospital_dataset_datetime].[Patient Waittime].&amp;[28]"/>
            <x15:cachedUniqueName index="23" name="[hospital_dataset_datetime].[Patient Waittime].&amp;[29]"/>
            <x15:cachedUniqueName index="24" name="[hospital_dataset_datetime].[Patient Waittime].&amp;[30]"/>
            <x15:cachedUniqueName index="25" name="[hospital_dataset_datetime].[Patient Waittime].&amp;[31]"/>
            <x15:cachedUniqueName index="26" name="[hospital_dataset_datetime].[Patient Waittime].&amp;[32]"/>
            <x15:cachedUniqueName index="27" name="[hospital_dataset_datetime].[Patient Waittime].&amp;[33]"/>
            <x15:cachedUniqueName index="28" name="[hospital_dataset_datetime].[Patient Waittime].&amp;[35]"/>
            <x15:cachedUniqueName index="29" name="[hospital_dataset_datetime].[Patient Waittime].&amp;[36]"/>
            <x15:cachedUniqueName index="30" name="[hospital_dataset_datetime].[Patient Waittime].&amp;[37]"/>
            <x15:cachedUniqueName index="31" name="[hospital_dataset_datetime].[Patient Waittime].&amp;[38]"/>
            <x15:cachedUniqueName index="32" name="[hospital_dataset_datetime].[Patient Waittime].&amp;[40]"/>
            <x15:cachedUniqueName index="33" name="[hospital_dataset_datetime].[Patient Waittime].&amp;[41]"/>
            <x15:cachedUniqueName index="34" name="[hospital_dataset_datetime].[Patient Waittime].&amp;[42]"/>
            <x15:cachedUniqueName index="35" name="[hospital_dataset_datetime].[Patient Waittime].&amp;[43]"/>
            <x15:cachedUniqueName index="36" name="[hospital_dataset_datetime].[Patient Waittime].&amp;[44]"/>
            <x15:cachedUniqueName index="37" name="[hospital_dataset_datetime].[Patient Waittime].&amp;[45]"/>
            <x15:cachedUniqueName index="38" name="[hospital_dataset_datetime].[Patient Waittime].&amp;[46]"/>
            <x15:cachedUniqueName index="39" name="[hospital_dataset_datetime].[Patient Waittime].&amp;[47]"/>
            <x15:cachedUniqueName index="40" name="[hospital_dataset_datetime].[Patient Waittime].&amp;[48]"/>
            <x15:cachedUniqueName index="41" name="[hospital_dataset_datetime].[Patient Waittime].&amp;[49]"/>
            <x15:cachedUniqueName index="42" name="[hospital_dataset_datetime].[Patient Waittime].&amp;[50]"/>
            <x15:cachedUniqueName index="43" name="[hospital_dataset_datetime].[Patient Waittime].&amp;[51]"/>
            <x15:cachedUniqueName index="44" name="[hospital_dataset_datetime].[Patient Waittime].&amp;[52]"/>
            <x15:cachedUniqueName index="45" name="[hospital_dataset_datetime].[Patient Waittime].&amp;[53]"/>
            <x15:cachedUniqueName index="46" name="[hospital_dataset_datetime].[Patient Waittime].&amp;[55]"/>
            <x15:cachedUniqueName index="47" name="[hospital_dataset_datetime].[Patient Waittime].&amp;[56]"/>
            <x15:cachedUniqueName index="48" name="[hospital_dataset_datetime].[Patient Waittime].&amp;[57]"/>
            <x15:cachedUniqueName index="49" name="[hospital_dataset_datetime].[Patient Waittime].&amp;[58]"/>
            <x15:cachedUniqueName index="50" name="[hospital_dataset_datetime].[Patient Waittime].&amp;[59]"/>
            <x15:cachedUniqueName index="51" name="[hospital_dataset_datetime].[Patient Waittime].&amp;[60]"/>
            <x15:cachedUniqueName index="52" name="[hospital_dataset_datetime].[Patient Waittime].&amp;[61]"/>
            <x15:cachedUniqueName index="53" name="[hospital_dataset_datetime].[Patient Waittime].&amp;[62]"/>
            <x15:cachedUniqueName index="54" name="[hospital_dataset_datetime].[Patient Waittime].&amp;[63]"/>
            <x15:cachedUniqueName index="55" name="[hospital_dataset_datetime].[Patient Waittime].&amp;[64]"/>
            <x15:cachedUniqueName index="56" name="[hospital_dataset_datetime].[Patient Waittime].&amp;[65]"/>
            <x15:cachedUniqueName index="57" name="[hospital_dataset_datetime].[Patient Waittime].&amp;[66]"/>
            <x15:cachedUniqueName index="58" name="[hospital_dataset_datetime].[Patient Waittime].&amp;[67]"/>
            <x15:cachedUniqueName index="59" name="[hospital_dataset_datetime].[Patient Waittime].&amp;[68]"/>
            <x15:cachedUniqueName index="60" name="[hospital_dataset_datetime].[Patient Waittime].&amp;[69]"/>
            <x15:cachedUniqueName index="61" name="[hospital_dataset_datetime].[Patient Waittime].&amp;[70]"/>
            <x15:cachedUniqueName index="62" name="[hospital_dataset_datetime].[Patient Waittime].&amp;[71]"/>
            <x15:cachedUniqueName index="63" name="[hospital_dataset_datetime].[Patient Waittime].&amp;[72]"/>
            <x15:cachedUniqueName index="64" name="[hospital_dataset_datetime].[Patient Waittime].&amp;[73]"/>
            <x15:cachedUniqueName index="65" name="[hospital_dataset_datetime].[Patient Waittime].&amp;[74]"/>
            <x15:cachedUniqueName index="66" name="[hospital_dataset_datetime].[Patient Waittime].&amp;[75]"/>
            <x15:cachedUniqueName index="67" name="[hospital_dataset_datetime].[Patient Waittime].&amp;[76]"/>
            <x15:cachedUniqueName index="68" name="[hospital_dataset_datetime].[Patient Waittime].&amp;[77]"/>
            <x15:cachedUniqueName index="69" name="[hospital_dataset_datetime].[Patient Waittime].&amp;[78]"/>
            <x15:cachedUniqueName index="70" name="[hospital_dataset_datetime].[Patient Waittime].&amp;[79]"/>
            <x15:cachedUniqueName index="71" name="[hospital_dataset_datetime].[Patient Waittime].&amp;[81]"/>
            <x15:cachedUniqueName index="72" name="[hospital_dataset_datetime].[Patient Waittime].&amp;[82]"/>
            <x15:cachedUniqueName index="73" name="[hospital_dataset_datetime].[Patient Waittime].&amp;[83]"/>
            <x15:cachedUniqueName index="74" name="[hospital_dataset_datetime].[Patient Waittime].&amp;[84]"/>
            <x15:cachedUniqueName index="75" name="[hospital_dataset_datetime].[Patient Waittime].&amp;[85]"/>
            <x15:cachedUniqueName index="76" name="[hospital_dataset_datetime].[Patient Waittime].&amp;[86]"/>
            <x15:cachedUniqueName index="77" name="[hospital_dataset_datetime].[Patient Waittime].&amp;[87]"/>
            <x15:cachedUniqueName index="78" name="[hospital_dataset_datetime].[Patient Waittime].&amp;[88]"/>
            <x15:cachedUniqueName index="79" name="[hospital_dataset_datetime].[Patient Waittime].&amp;[90]"/>
            <x15:cachedUniqueName index="80" name="[hospital_dataset_datetime].[Patient Waittime].&amp;[91]"/>
            <x15:cachedUniqueName index="81" name="[hospital_dataset_datetime].[Patient Waittime].&amp;[92]"/>
            <x15:cachedUniqueName index="82" name="[hospital_dataset_datetime].[Patient Waittime].&amp;[93]"/>
            <x15:cachedUniqueName index="83" name="[hospital_dataset_datetime].[Patient Waittime].&amp;[94]"/>
            <x15:cachedUniqueName index="84" name="[hospital_dataset_datetime].[Patient Waittime].&amp;[95]"/>
            <x15:cachedUniqueName index="85" name="[hospital_dataset_datetime].[Patient Waittime].&amp;[96]"/>
            <x15:cachedUniqueName index="86" name="[hospital_dataset_datetime].[Patient Waittime].&amp;[97]"/>
            <x15:cachedUniqueName index="87" name="[hospital_dataset_datetime].[Patient Waittime].&amp;[99]"/>
            <x15:cachedUniqueName index="88" name="[hospital_dataset_datetime].[Patient Waittime].&amp;[100]"/>
            <x15:cachedUniqueName index="89" name="[hospital_dataset_datetime].[Patient Waittime].&amp;[101]"/>
            <x15:cachedUniqueName index="90" name="[hospital_dataset_datetime].[Patient Waittime].&amp;[102]"/>
            <x15:cachedUniqueName index="91" name="[hospital_dataset_datetime].[Patient Waittime].&amp;[103]"/>
            <x15:cachedUniqueName index="92" name="[hospital_dataset_datetime].[Patient Waittime].&amp;[104]"/>
            <x15:cachedUniqueName index="93" name="[hospital_dataset_datetime].[Patient Waittime].&amp;[105]"/>
            <x15:cachedUniqueName index="94" name="[hospital_dataset_datetime].[Patient Waittime].&amp;[106]"/>
            <x15:cachedUniqueName index="95" name="[hospital_dataset_datetime].[Patient Waittime].&amp;[107]"/>
            <x15:cachedUniqueName index="96" name="[hospital_dataset_datetime].[Patient Waittime].&amp;[108]"/>
            <x15:cachedUniqueName index="97" name="[hospital_dataset_datetime].[Patient Waittime].&amp;[109]"/>
            <x15:cachedUniqueName index="98" name="[hospital_dataset_datetime].[Patient Waittime].&amp;[110]"/>
            <x15:cachedUniqueName index="99" name="[hospital_dataset_datetime].[Patient Waittime].&amp;[111]"/>
            <x15:cachedUniqueName index="100" name="[hospital_dataset_datetime].[Patient Waittime].&amp;[112]"/>
            <x15:cachedUniqueName index="101" name="[hospital_dataset_datetime].[Patient Waittime].&amp;[113]"/>
            <x15:cachedUniqueName index="102" name="[hospital_dataset_datetime].[Patient Waittime].&amp;[114]"/>
            <x15:cachedUniqueName index="103" name="[hospital_dataset_datetime].[Patient Waittime].&amp;[115]"/>
            <x15:cachedUniqueName index="104" name="[hospital_dataset_datetime].[Patient Waittime].&amp;[116]"/>
            <x15:cachedUniqueName index="105" name="[hospital_dataset_datetime].[Patient Waittime].&amp;[117]"/>
            <x15:cachedUniqueName index="106" name="[hospital_dataset_datetime].[Patient Waittime].&amp;[118]"/>
            <x15:cachedUniqueName index="107" name="[hospital_dataset_datetime].[Patient Waittime].&amp;[119]"/>
          </x15:cachedUniqueNames>
        </ext>
      </extLst>
    </cacheField>
    <cacheField name="[Measures].[Count of Patient Gender]" caption="Count of Patient Gender" numFmtId="0" hierarchy="32" level="32767"/>
    <cacheField name="[hospital_dataset_datetime].[Patient Gender].[Patient Gender]" caption="Patient Gender" numFmtId="0" hierarchy="5" level="1">
      <sharedItems count="2">
        <s v="Female"/>
        <s v="Male"/>
      </sharedItems>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2" memberValueDatatype="130" unbalanced="0">
      <fieldsUsage count="2">
        <fieldUsage x="-1"/>
        <fieldUsage x="3"/>
      </fieldsUsage>
    </cacheHierarchy>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2" memberValueDatatype="20" unbalanced="0">
      <fieldsUsage count="2">
        <fieldUsage x="-1"/>
        <fieldUsage x="1"/>
      </fieldsUsage>
    </cacheHierarchy>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7962966" createdVersion="5" refreshedVersion="8" minRefreshableVersion="3" recordCount="0" supportSubquery="1" supportAdvancedDrill="1" xr:uid="{6FF87372-43DF-43A7-ADDD-9B028BDF2DCC}">
  <cacheSource type="external" connectionId="4"/>
  <cacheFields count="4">
    <cacheField name="[Calendar_Table].[Date (Month)].[Date (Month)]" caption="Date (Month)" numFmtId="0" hierarchy="1" level="1">
      <sharedItems containsSemiMixedTypes="0" containsNonDate="0" containsString="0"/>
    </cacheField>
    <cacheField name="[hospital_dataset_datetime].[Patient Waittime].[Patient Waittime]" caption="Patient Waittime" numFmtId="0" hierarchy="12" level="1">
      <sharedItems containsSemiMixedTypes="0" containsString="0" containsNumber="1" containsInteger="1" minValue="5" maxValue="119" count="108">
        <n v="5"/>
        <n v="6"/>
        <n v="7"/>
        <n v="8"/>
        <n v="9"/>
        <n v="10"/>
        <n v="12"/>
        <n v="13"/>
        <n v="14"/>
        <n v="15"/>
        <n v="16"/>
        <n v="17"/>
        <n v="18"/>
        <n v="19"/>
        <n v="20"/>
        <n v="21"/>
        <n v="22"/>
        <n v="23"/>
        <n v="24"/>
        <n v="25"/>
        <n v="26"/>
        <n v="27"/>
        <n v="28"/>
        <n v="29"/>
        <n v="30"/>
        <n v="31"/>
        <n v="32"/>
        <n v="33"/>
        <n v="35"/>
        <n v="36"/>
        <n v="37"/>
        <n v="38"/>
        <n v="40"/>
        <n v="41"/>
        <n v="42"/>
        <n v="43"/>
        <n v="44"/>
        <n v="45"/>
        <n v="46"/>
        <n v="47"/>
        <n v="48"/>
        <n v="49"/>
        <n v="50"/>
        <n v="51"/>
        <n v="52"/>
        <n v="53"/>
        <n v="55"/>
        <n v="56"/>
        <n v="57"/>
        <n v="58"/>
        <n v="59"/>
        <n v="60"/>
        <n v="61"/>
        <n v="62"/>
        <n v="63"/>
        <n v="64"/>
        <n v="65"/>
        <n v="66"/>
        <n v="67"/>
        <n v="68"/>
        <n v="69"/>
        <n v="70"/>
        <n v="71"/>
        <n v="72"/>
        <n v="73"/>
        <n v="74"/>
        <n v="75"/>
        <n v="76"/>
        <n v="77"/>
        <n v="78"/>
        <n v="79"/>
        <n v="81"/>
        <n v="82"/>
        <n v="83"/>
        <n v="84"/>
        <n v="85"/>
        <n v="86"/>
        <n v="87"/>
        <n v="88"/>
        <n v="90"/>
        <n v="91"/>
        <n v="92"/>
        <n v="93"/>
        <n v="94"/>
        <n v="95"/>
        <n v="96"/>
        <n v="97"/>
        <n v="99"/>
        <n v="100"/>
        <n v="101"/>
        <n v="102"/>
        <n v="103"/>
        <n v="104"/>
        <n v="105"/>
        <n v="106"/>
        <n v="107"/>
        <n v="108"/>
        <n v="109"/>
        <n v="110"/>
        <n v="111"/>
        <n v="112"/>
        <n v="113"/>
        <n v="114"/>
        <n v="115"/>
        <n v="116"/>
        <n v="117"/>
        <n v="118"/>
        <n v="119"/>
      </sharedItems>
      <extLst>
        <ext xmlns:x15="http://schemas.microsoft.com/office/spreadsheetml/2010/11/main" uri="{4F2E5C28-24EA-4eb8-9CBF-B6C8F9C3D259}">
          <x15:cachedUniqueNames>
            <x15:cachedUniqueName index="0" name="[hospital_dataset_datetime].[Patient Waittime].&amp;[5]"/>
            <x15:cachedUniqueName index="1" name="[hospital_dataset_datetime].[Patient Waittime].&amp;[6]"/>
            <x15:cachedUniqueName index="2" name="[hospital_dataset_datetime].[Patient Waittime].&amp;[7]"/>
            <x15:cachedUniqueName index="3" name="[hospital_dataset_datetime].[Patient Waittime].&amp;[8]"/>
            <x15:cachedUniqueName index="4" name="[hospital_dataset_datetime].[Patient Waittime].&amp;[9]"/>
            <x15:cachedUniqueName index="5" name="[hospital_dataset_datetime].[Patient Waittime].&amp;[10]"/>
            <x15:cachedUniqueName index="6" name="[hospital_dataset_datetime].[Patient Waittime].&amp;[12]"/>
            <x15:cachedUniqueName index="7" name="[hospital_dataset_datetime].[Patient Waittime].&amp;[13]"/>
            <x15:cachedUniqueName index="8" name="[hospital_dataset_datetime].[Patient Waittime].&amp;[14]"/>
            <x15:cachedUniqueName index="9" name="[hospital_dataset_datetime].[Patient Waittime].&amp;[15]"/>
            <x15:cachedUniqueName index="10" name="[hospital_dataset_datetime].[Patient Waittime].&amp;[16]"/>
            <x15:cachedUniqueName index="11" name="[hospital_dataset_datetime].[Patient Waittime].&amp;[17]"/>
            <x15:cachedUniqueName index="12" name="[hospital_dataset_datetime].[Patient Waittime].&amp;[18]"/>
            <x15:cachedUniqueName index="13" name="[hospital_dataset_datetime].[Patient Waittime].&amp;[19]"/>
            <x15:cachedUniqueName index="14" name="[hospital_dataset_datetime].[Patient Waittime].&amp;[20]"/>
            <x15:cachedUniqueName index="15" name="[hospital_dataset_datetime].[Patient Waittime].&amp;[21]"/>
            <x15:cachedUniqueName index="16" name="[hospital_dataset_datetime].[Patient Waittime].&amp;[22]"/>
            <x15:cachedUniqueName index="17" name="[hospital_dataset_datetime].[Patient Waittime].&amp;[23]"/>
            <x15:cachedUniqueName index="18" name="[hospital_dataset_datetime].[Patient Waittime].&amp;[24]"/>
            <x15:cachedUniqueName index="19" name="[hospital_dataset_datetime].[Patient Waittime].&amp;[25]"/>
            <x15:cachedUniqueName index="20" name="[hospital_dataset_datetime].[Patient Waittime].&amp;[26]"/>
            <x15:cachedUniqueName index="21" name="[hospital_dataset_datetime].[Patient Waittime].&amp;[27]"/>
            <x15:cachedUniqueName index="22" name="[hospital_dataset_datetime].[Patient Waittime].&amp;[28]"/>
            <x15:cachedUniqueName index="23" name="[hospital_dataset_datetime].[Patient Waittime].&amp;[29]"/>
            <x15:cachedUniqueName index="24" name="[hospital_dataset_datetime].[Patient Waittime].&amp;[30]"/>
            <x15:cachedUniqueName index="25" name="[hospital_dataset_datetime].[Patient Waittime].&amp;[31]"/>
            <x15:cachedUniqueName index="26" name="[hospital_dataset_datetime].[Patient Waittime].&amp;[32]"/>
            <x15:cachedUniqueName index="27" name="[hospital_dataset_datetime].[Patient Waittime].&amp;[33]"/>
            <x15:cachedUniqueName index="28" name="[hospital_dataset_datetime].[Patient Waittime].&amp;[35]"/>
            <x15:cachedUniqueName index="29" name="[hospital_dataset_datetime].[Patient Waittime].&amp;[36]"/>
            <x15:cachedUniqueName index="30" name="[hospital_dataset_datetime].[Patient Waittime].&amp;[37]"/>
            <x15:cachedUniqueName index="31" name="[hospital_dataset_datetime].[Patient Waittime].&amp;[38]"/>
            <x15:cachedUniqueName index="32" name="[hospital_dataset_datetime].[Patient Waittime].&amp;[40]"/>
            <x15:cachedUniqueName index="33" name="[hospital_dataset_datetime].[Patient Waittime].&amp;[41]"/>
            <x15:cachedUniqueName index="34" name="[hospital_dataset_datetime].[Patient Waittime].&amp;[42]"/>
            <x15:cachedUniqueName index="35" name="[hospital_dataset_datetime].[Patient Waittime].&amp;[43]"/>
            <x15:cachedUniqueName index="36" name="[hospital_dataset_datetime].[Patient Waittime].&amp;[44]"/>
            <x15:cachedUniqueName index="37" name="[hospital_dataset_datetime].[Patient Waittime].&amp;[45]"/>
            <x15:cachedUniqueName index="38" name="[hospital_dataset_datetime].[Patient Waittime].&amp;[46]"/>
            <x15:cachedUniqueName index="39" name="[hospital_dataset_datetime].[Patient Waittime].&amp;[47]"/>
            <x15:cachedUniqueName index="40" name="[hospital_dataset_datetime].[Patient Waittime].&amp;[48]"/>
            <x15:cachedUniqueName index="41" name="[hospital_dataset_datetime].[Patient Waittime].&amp;[49]"/>
            <x15:cachedUniqueName index="42" name="[hospital_dataset_datetime].[Patient Waittime].&amp;[50]"/>
            <x15:cachedUniqueName index="43" name="[hospital_dataset_datetime].[Patient Waittime].&amp;[51]"/>
            <x15:cachedUniqueName index="44" name="[hospital_dataset_datetime].[Patient Waittime].&amp;[52]"/>
            <x15:cachedUniqueName index="45" name="[hospital_dataset_datetime].[Patient Waittime].&amp;[53]"/>
            <x15:cachedUniqueName index="46" name="[hospital_dataset_datetime].[Patient Waittime].&amp;[55]"/>
            <x15:cachedUniqueName index="47" name="[hospital_dataset_datetime].[Patient Waittime].&amp;[56]"/>
            <x15:cachedUniqueName index="48" name="[hospital_dataset_datetime].[Patient Waittime].&amp;[57]"/>
            <x15:cachedUniqueName index="49" name="[hospital_dataset_datetime].[Patient Waittime].&amp;[58]"/>
            <x15:cachedUniqueName index="50" name="[hospital_dataset_datetime].[Patient Waittime].&amp;[59]"/>
            <x15:cachedUniqueName index="51" name="[hospital_dataset_datetime].[Patient Waittime].&amp;[60]"/>
            <x15:cachedUniqueName index="52" name="[hospital_dataset_datetime].[Patient Waittime].&amp;[61]"/>
            <x15:cachedUniqueName index="53" name="[hospital_dataset_datetime].[Patient Waittime].&amp;[62]"/>
            <x15:cachedUniqueName index="54" name="[hospital_dataset_datetime].[Patient Waittime].&amp;[63]"/>
            <x15:cachedUniqueName index="55" name="[hospital_dataset_datetime].[Patient Waittime].&amp;[64]"/>
            <x15:cachedUniqueName index="56" name="[hospital_dataset_datetime].[Patient Waittime].&amp;[65]"/>
            <x15:cachedUniqueName index="57" name="[hospital_dataset_datetime].[Patient Waittime].&amp;[66]"/>
            <x15:cachedUniqueName index="58" name="[hospital_dataset_datetime].[Patient Waittime].&amp;[67]"/>
            <x15:cachedUniqueName index="59" name="[hospital_dataset_datetime].[Patient Waittime].&amp;[68]"/>
            <x15:cachedUniqueName index="60" name="[hospital_dataset_datetime].[Patient Waittime].&amp;[69]"/>
            <x15:cachedUniqueName index="61" name="[hospital_dataset_datetime].[Patient Waittime].&amp;[70]"/>
            <x15:cachedUniqueName index="62" name="[hospital_dataset_datetime].[Patient Waittime].&amp;[71]"/>
            <x15:cachedUniqueName index="63" name="[hospital_dataset_datetime].[Patient Waittime].&amp;[72]"/>
            <x15:cachedUniqueName index="64" name="[hospital_dataset_datetime].[Patient Waittime].&amp;[73]"/>
            <x15:cachedUniqueName index="65" name="[hospital_dataset_datetime].[Patient Waittime].&amp;[74]"/>
            <x15:cachedUniqueName index="66" name="[hospital_dataset_datetime].[Patient Waittime].&amp;[75]"/>
            <x15:cachedUniqueName index="67" name="[hospital_dataset_datetime].[Patient Waittime].&amp;[76]"/>
            <x15:cachedUniqueName index="68" name="[hospital_dataset_datetime].[Patient Waittime].&amp;[77]"/>
            <x15:cachedUniqueName index="69" name="[hospital_dataset_datetime].[Patient Waittime].&amp;[78]"/>
            <x15:cachedUniqueName index="70" name="[hospital_dataset_datetime].[Patient Waittime].&amp;[79]"/>
            <x15:cachedUniqueName index="71" name="[hospital_dataset_datetime].[Patient Waittime].&amp;[81]"/>
            <x15:cachedUniqueName index="72" name="[hospital_dataset_datetime].[Patient Waittime].&amp;[82]"/>
            <x15:cachedUniqueName index="73" name="[hospital_dataset_datetime].[Patient Waittime].&amp;[83]"/>
            <x15:cachedUniqueName index="74" name="[hospital_dataset_datetime].[Patient Waittime].&amp;[84]"/>
            <x15:cachedUniqueName index="75" name="[hospital_dataset_datetime].[Patient Waittime].&amp;[85]"/>
            <x15:cachedUniqueName index="76" name="[hospital_dataset_datetime].[Patient Waittime].&amp;[86]"/>
            <x15:cachedUniqueName index="77" name="[hospital_dataset_datetime].[Patient Waittime].&amp;[87]"/>
            <x15:cachedUniqueName index="78" name="[hospital_dataset_datetime].[Patient Waittime].&amp;[88]"/>
            <x15:cachedUniqueName index="79" name="[hospital_dataset_datetime].[Patient Waittime].&amp;[90]"/>
            <x15:cachedUniqueName index="80" name="[hospital_dataset_datetime].[Patient Waittime].&amp;[91]"/>
            <x15:cachedUniqueName index="81" name="[hospital_dataset_datetime].[Patient Waittime].&amp;[92]"/>
            <x15:cachedUniqueName index="82" name="[hospital_dataset_datetime].[Patient Waittime].&amp;[93]"/>
            <x15:cachedUniqueName index="83" name="[hospital_dataset_datetime].[Patient Waittime].&amp;[94]"/>
            <x15:cachedUniqueName index="84" name="[hospital_dataset_datetime].[Patient Waittime].&amp;[95]"/>
            <x15:cachedUniqueName index="85" name="[hospital_dataset_datetime].[Patient Waittime].&amp;[96]"/>
            <x15:cachedUniqueName index="86" name="[hospital_dataset_datetime].[Patient Waittime].&amp;[97]"/>
            <x15:cachedUniqueName index="87" name="[hospital_dataset_datetime].[Patient Waittime].&amp;[99]"/>
            <x15:cachedUniqueName index="88" name="[hospital_dataset_datetime].[Patient Waittime].&amp;[100]"/>
            <x15:cachedUniqueName index="89" name="[hospital_dataset_datetime].[Patient Waittime].&amp;[101]"/>
            <x15:cachedUniqueName index="90" name="[hospital_dataset_datetime].[Patient Waittime].&amp;[102]"/>
            <x15:cachedUniqueName index="91" name="[hospital_dataset_datetime].[Patient Waittime].&amp;[103]"/>
            <x15:cachedUniqueName index="92" name="[hospital_dataset_datetime].[Patient Waittime].&amp;[104]"/>
            <x15:cachedUniqueName index="93" name="[hospital_dataset_datetime].[Patient Waittime].&amp;[105]"/>
            <x15:cachedUniqueName index="94" name="[hospital_dataset_datetime].[Patient Waittime].&amp;[106]"/>
            <x15:cachedUniqueName index="95" name="[hospital_dataset_datetime].[Patient Waittime].&amp;[107]"/>
            <x15:cachedUniqueName index="96" name="[hospital_dataset_datetime].[Patient Waittime].&amp;[108]"/>
            <x15:cachedUniqueName index="97" name="[hospital_dataset_datetime].[Patient Waittime].&amp;[109]"/>
            <x15:cachedUniqueName index="98" name="[hospital_dataset_datetime].[Patient Waittime].&amp;[110]"/>
            <x15:cachedUniqueName index="99" name="[hospital_dataset_datetime].[Patient Waittime].&amp;[111]"/>
            <x15:cachedUniqueName index="100" name="[hospital_dataset_datetime].[Patient Waittime].&amp;[112]"/>
            <x15:cachedUniqueName index="101" name="[hospital_dataset_datetime].[Patient Waittime].&amp;[113]"/>
            <x15:cachedUniqueName index="102" name="[hospital_dataset_datetime].[Patient Waittime].&amp;[114]"/>
            <x15:cachedUniqueName index="103" name="[hospital_dataset_datetime].[Patient Waittime].&amp;[115]"/>
            <x15:cachedUniqueName index="104" name="[hospital_dataset_datetime].[Patient Waittime].&amp;[116]"/>
            <x15:cachedUniqueName index="105" name="[hospital_dataset_datetime].[Patient Waittime].&amp;[117]"/>
            <x15:cachedUniqueName index="106" name="[hospital_dataset_datetime].[Patient Waittime].&amp;[118]"/>
            <x15:cachedUniqueName index="107" name="[hospital_dataset_datetime].[Patient Waittime].&amp;[119]"/>
          </x15:cachedUniqueNames>
        </ext>
      </extLst>
    </cacheField>
    <cacheField name="[hospital_dataset_datetime].[Department Referral].[Department Referral]" caption="Department Referral" numFmtId="0" hierarchy="11" level="1">
      <sharedItems count="7">
        <s v="Cardiology"/>
        <s v="Dermatology"/>
        <s v="Emergency"/>
        <s v="Neurology"/>
        <s v="Oncology"/>
        <s v="Orthopedics"/>
        <s v="Pediatrics"/>
      </sharedItems>
    </cacheField>
    <cacheField name="[Measures].[Count of Department Referral]" caption="Count of Department Referral" numFmtId="0" hierarchy="30"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2"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2" memberValueDatatype="130" unbalanced="0">
      <fieldsUsage count="2">
        <fieldUsage x="-1"/>
        <fieldUsage x="2"/>
      </fieldsUsage>
    </cacheHierarchy>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2" memberValueDatatype="20" unbalanced="0">
      <fieldsUsage count="2">
        <fieldUsage x="-1"/>
        <fieldUsage x="1"/>
      </fieldsUsage>
    </cacheHierarchy>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5.014938078704" createdVersion="5" refreshedVersion="8" minRefreshableVersion="3" recordCount="0" supportSubquery="1" supportAdvancedDrill="1" xr:uid="{0407E1D0-8BBF-4F2A-8B80-A4E5936A163D}">
  <cacheSource type="external" connectionId="4"/>
  <cacheFields count="1">
    <cacheField name="[Calendar_Table].[Date (Month)].[Date (Month)]" caption="Date (Month)" numFmtId="0" hierarchy="1"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_dataset_datetime"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dataset_datetime"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dataset_datetime" count="0" hidden="1">
      <extLst>
        <ext xmlns:x15="http://schemas.microsoft.com/office/spreadsheetml/2010/11/main" uri="{B97F6D7D-B522-45F9-BDA1-12C45D357490}">
          <x15:cacheHierarchy aggregatedColumn="11"/>
        </ext>
      </extLst>
    </cacheHierarchy>
    <cacheHierarchy uniqueName="[Measures].[Count of Calculated Column 1]" caption="Count of Calculated Column 1" measure="1" displayFolder="" measureGroup="hospital_dataset_datetime"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dataset_datetime" count="0" hidden="1">
      <extLst>
        <ext xmlns:x15="http://schemas.microsoft.com/office/spreadsheetml/2010/11/main" uri="{B97F6D7D-B522-45F9-BDA1-12C45D357490}">
          <x15:cacheHierarchy aggregatedColumn="5"/>
        </ext>
      </extLst>
    </cacheHierarchy>
  </cacheHierarchies>
  <kpis count="0"/>
  <dimensions count="3">
    <dimension name="Calendar_Table" uniqueName="[Calendar_Table]" caption="Calendar_Table"/>
    <dimension name="hospital_dataset_datetime" uniqueName="[hospital_dataset_datetime]" caption="hospital_dataset_datetime"/>
    <dimension measure="1" name="Measures" uniqueName="[Measures]" caption="Measures"/>
  </dimensions>
  <measureGroups count="2">
    <measureGroup name="Calendar_Table" caption="Calendar_Table"/>
    <measureGroup name="hospital_dataset_datetime" caption="hospital_dataset_datetim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n khan" refreshedDate="46243.733833449071" createdVersion="3" refreshedVersion="8" minRefreshableVersion="3" recordCount="0" supportSubquery="1" supportAdvancedDrill="1" xr:uid="{64D4B7D2-2E0C-4122-885E-D60F3CAEC336}">
  <cacheSource type="external" connectionId="4">
    <extLst>
      <ext xmlns:x14="http://schemas.microsoft.com/office/spreadsheetml/2009/9/main" uri="{F057638F-6D5F-4e77-A914-E7F072B9BCA8}">
        <x14:sourceConnection name="ThisWorkbookDataModel"/>
      </ext>
    </extLst>
  </cacheSource>
  <cacheFields count="0"/>
  <cacheHierarchies count="2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_dataset_datetime].[Patient Id.1]" caption="Patient Id.1" attribute="1" defaultMemberUniqueName="[hospital_dataset_datetime].[Patient Id.1].[All]" allUniqueName="[hospital_dataset_datetime].[Patient Id.1].[All]" dimensionUniqueName="[hospital_dataset_datetime]" displayFolder="" count="0" memberValueDatatype="130" unbalanced="0"/>
    <cacheHierarchy uniqueName="[hospital_dataset_datetime].[Merged]" caption="Merged" attribute="1" defaultMemberUniqueName="[hospital_dataset_datetime].[Merged].[All]" allUniqueName="[hospital_dataset_datetime].[Merged].[All]" dimensionUniqueName="[hospital_dataset_datetime]" displayFolder="" count="0" memberValueDatatype="130" unbalanced="0"/>
    <cacheHierarchy uniqueName="[hospital_dataset_datetime].[Patient Gender]" caption="Patient Gender" attribute="1" defaultMemberUniqueName="[hospital_dataset_datetime].[Patient Gender].[All]" allUniqueName="[hospital_dataset_datetime].[Patient Gender].[All]" dimensionUniqueName="[hospital_dataset_datetime]" displayFolder="" count="0" memberValueDatatype="130" unbalanced="0"/>
    <cacheHierarchy uniqueName="[hospital_dataset_datetime].[Patient Age]" caption="Patient Age" attribute="1" defaultMemberUniqueName="[hospital_dataset_datetime].[Patient Age].[All]" allUniqueName="[hospital_dataset_datetime].[Patient Age].[All]" dimensionUniqueName="[hospital_dataset_datetime]" displayFolder="" count="0" memberValueDatatype="20" unbalanced="0"/>
    <cacheHierarchy uniqueName="[hospital_dataset_datetime].[Patient Race]" caption="Patient Race" attribute="1" defaultMemberUniqueName="[hospital_dataset_datetime].[Patient Race].[All]" allUniqueName="[hospital_dataset_datetime].[Patient Race].[All]" dimensionUniqueName="[hospital_dataset_datetime]" displayFolder="" count="0" memberValueDatatype="130" unbalanced="0"/>
    <cacheHierarchy uniqueName="[hospital_dataset_datetime].[Patient Admission Date]" caption="Patient Admission Date" attribute="1" time="1" defaultMemberUniqueName="[hospital_dataset_datetime].[Patient Admission Date].[All]" allUniqueName="[hospital_dataset_datetime].[Patient Admission Date].[All]" dimensionUniqueName="[hospital_dataset_datetime]" displayFolder="" count="0" memberValueDatatype="7" unbalanced="0"/>
    <cacheHierarchy uniqueName="[hospital_dataset_datetime].[Patient Admission Time]" caption="Patient Admission Time" attribute="1" time="1" defaultMemberUniqueName="[hospital_dataset_datetime].[Patient Admission Time].[All]" allUniqueName="[hospital_dataset_datetime].[Patient Admission Time].[All]" dimensionUniqueName="[hospital_dataset_datetime]" displayFolder="" count="0" memberValueDatatype="7" unbalanced="0"/>
    <cacheHierarchy uniqueName="[hospital_dataset_datetime].[Patient Admission Flag]" caption="Patient Admission Flag" attribute="1" defaultMemberUniqueName="[hospital_dataset_datetime].[Patient Admission Flag].[All]" allUniqueName="[hospital_dataset_datetime].[Patient Admission Flag].[All]" dimensionUniqueName="[hospital_dataset_datetime]" displayFolder="" count="0" memberValueDatatype="130" unbalanced="0"/>
    <cacheHierarchy uniqueName="[hospital_dataset_datetime].[Department Referral]" caption="Department Referral" attribute="1" defaultMemberUniqueName="[hospital_dataset_datetime].[Department Referral].[All]" allUniqueName="[hospital_dataset_datetime].[Department Referral].[All]" dimensionUniqueName="[hospital_dataset_datetime]" displayFolder="" count="0" memberValueDatatype="130" unbalanced="0"/>
    <cacheHierarchy uniqueName="[hospital_dataset_datetime].[Patient Waittime]" caption="Patient Waittime" attribute="1" defaultMemberUniqueName="[hospital_dataset_datetime].[Patient Waittime].[All]" allUniqueName="[hospital_dataset_datetime].[Patient Waittime].[All]" dimensionUniqueName="[hospital_dataset_datetime]" displayFolder="" count="0" memberValueDatatype="20" unbalanced="0"/>
    <cacheHierarchy uniqueName="[hospital_dataset_datetime].[Patient Satisfaction Score]" caption="Patient Satisfaction Score" attribute="1" defaultMemberUniqueName="[hospital_dataset_datetime].[Patient Satisfaction Score].[All]" allUniqueName="[hospital_dataset_datetime].[Patient Satisfaction Score].[All]" dimensionUniqueName="[hospital_dataset_datetime]" displayFolder="" count="0" memberValueDatatype="20" unbalanced="0"/>
    <cacheHierarchy uniqueName="[hospital_dataset_datetime].[Age Group]" caption="Age Group" attribute="1" defaultMemberUniqueName="[hospital_dataset_datetime].[Age Group].[All]" allUniqueName="[hospital_dataset_datetime].[Age Group].[All]" dimensionUniqueName="[hospital_dataset_datetime]" displayFolder="" count="0" memberValueDatatype="130" unbalanced="0"/>
    <cacheHierarchy uniqueName="[hospital_dataset_datetime].[Calculated Column 1]" caption="Calculated Column 1" attribute="1" defaultMemberUniqueName="[hospital_dataset_datetime].[Calculated Column 1].[All]" allUniqueName="[hospital_dataset_datetime].[Calculated Column 1].[All]" dimensionUniqueName="[hospital_dataset_datetime]"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_dataset_datetime]" caption="__XL_Count hospital_dataset_datetime" measure="1" displayFolder="" measureGroup="hospital_dataset_datetime"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1]" caption="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Distinct Count of Patient Id.1]" caption="Distinct Count of Patient Id.1" measure="1" displayFolder="" measureGroup="hospital_dataset_datetime"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Min of Patient Waittime]" caption="Min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Average of Patient Waittime]" caption="Average of Patient Waittime" measure="1" displayFolder="" measureGroup="hospital_dataset_datetime" count="0" hidden="1">
      <extLst>
        <ext xmlns:x15="http://schemas.microsoft.com/office/spreadsheetml/2010/11/main" uri="{B97F6D7D-B522-45F9-BDA1-12C45D357490}">
          <x15:cacheHierarchy aggregatedColumn="12"/>
        </ext>
      </extLst>
    </cacheHierarchy>
    <cacheHierarchy uniqueName="[Measures].[Sum of Patient Satisfaction Score]" caption="Sum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dataset_datetim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915290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C3E1C-F7A4-4FBA-8CBF-066D808B6116}" name="PivotTable3" cacheId="453"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0">
      <pivotArea outline="0" collapsedLevelsAreSubtotals="1" fieldPosition="0"/>
    </format>
  </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A58DB1-867C-4AE7-9377-E13B3BBC1A06}" name="PivotTable2" cacheId="450" applyNumberFormats="0" applyBorderFormats="0" applyFontFormats="0" applyPatternFormats="0" applyAlignmentFormats="0" applyWidthHeightFormats="1" dataCaption="Values" tag="4f1201d9-74ee-4391-8f44-3258ddb9fd84"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1">
      <pivotArea outline="0" collapsedLevelsAreSubtotals="1" fieldPosition="0"/>
    </format>
  </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CCD2D2-F3C4-4F62-85D4-A8C85194FE2E}" name="PivotTable1" cacheId="447" applyNumberFormats="0" applyBorderFormats="0" applyFontFormats="0" applyPatternFormats="0" applyAlignmentFormats="0" applyWidthHeightFormats="1" dataCaption="Values" tag="d6bd62f9-75c7-41e5-b635-8c85dcd559fe" updatedVersion="8" minRefreshableVersion="3"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1" fld="0" subtotal="count" baseField="0" baseItem="0"/>
  </dataField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DCCA22-F3CE-4964-8912-ED18B5E389BC}" name="PivotTable10" cacheId="480"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5">
  <location ref="A26" firstHeaderRow="0" firstDataRow="0" firstDataCol="0"/>
  <pivotFields count="1">
    <pivotField allDrilled="1" subtotalTop="0" showAll="0" dataSourceSort="1" defaultSubtotal="0" defaultAttributeDrillState="1"/>
  </pivotFields>
  <formats count="1">
    <format dxfId="182">
      <pivotArea outline="0" collapsedLevelsAreSubtotals="1" fieldPosition="0"/>
    </format>
  </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42DFA6-BC22-4F79-8F1F-B92B1691F53B}" name="PivotTable11" cacheId="471"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10">
  <location ref="I40:J43"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s>
    </pivotField>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Calculated Column 1" fld="3" subtotal="count" baseField="0" baseItem="0"/>
  </dataFields>
  <formats count="1">
    <format dxfId="183">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5833DF-E234-4C2F-80A6-79353B4BDB12}" name="PivotTable4" cacheId="444" applyNumberFormats="0" applyBorderFormats="0" applyFontFormats="0" applyPatternFormats="0" applyAlignmentFormats="0" applyWidthHeightFormats="1" dataCaption="Values" tag="7f66e43c-90e5-4e5b-a280-71147a1fe4b7" updatedVersion="8" minRefreshableVersion="3" subtotalHiddenItems="1" itemPrintTitles="1" createdVersion="5" indent="0" outline="1" outlineData="1" multipleFieldFilters="0" chartFormat="16">
  <location ref="F2:G34"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1" fld="0" subtotal="count"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4814AF-59DA-49C9-A36A-B80B4DDE5B51}" name="PivotTable12" cacheId="474"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18">
  <location ref="A31:B34"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s>
    </pivotField>
    <pivotField dataField="1" subtotalTop="0" showAll="0" defaultSubtotal="0"/>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Gender" fld="2" subtotal="count" baseField="0" baseItem="0"/>
  </dataFields>
  <formats count="1">
    <format dxfId="184">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0"/>
          </reference>
        </references>
      </pivotArea>
    </chartFormat>
    <chartFormat chart="16" format="6">
      <pivotArea type="data" outline="0" fieldPosition="0">
        <references count="2">
          <reference field="4294967294" count="1" selected="0">
            <x v="0"/>
          </reference>
          <reference field="3" count="1" selected="0">
            <x v="1"/>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0F530A-ADBB-4647-9FDF-82A339BEA96A}" name="PivotTable8" cacheId="465"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5">
  <location ref="F40:G4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186">
      <pivotArea outline="0" collapsedLevelsAreSubtotals="1" fieldPosition="0"/>
    </format>
    <format dxfId="185">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1FB51B-CA56-4BA0-841C-79F128A7811D}" name="PivotTable7" cacheId="462"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6">
  <location ref="A40:C43"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8">
      <pivotArea outline="0" collapsedLevelsAreSubtotals="1" fieldPosition="0"/>
    </format>
    <format dxfId="18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2B81F9-56E8-46EF-8998-A24903EA0E5F}" name="PivotTable13" cacheId="477" applyNumberFormats="0" applyBorderFormats="0" applyFontFormats="0" applyPatternFormats="0" applyAlignmentFormats="0" applyWidthHeightFormats="1" dataCaption="Values" tag="225616cf-fb3c-4f3c-b743-dd80be91f90d" updatedVersion="8" minRefreshableVersion="3" subtotalHiddenItems="1" itemPrintTitles="1" createdVersion="5" indent="0" outline="1" outlineData="1" multipleFieldFilters="0" chartFormat="25">
  <location ref="I48:J56" firstHeaderRow="1" firstDataRow="1" firstDataCol="1"/>
  <pivotFields count="4">
    <pivotField allDrilled="1" subtotalTop="0" showAll="0" dataSourceSort="1" defaultSubtotal="0" defaultAttributeDrillState="1"/>
    <pivotField allDrilled="1" subtotalTop="0" showAll="0" sortType="ascending" defaultSubtotal="0" defaultAttributeDrillState="1">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2"/>
    </i>
    <i>
      <x v="3"/>
    </i>
    <i>
      <x v="1"/>
    </i>
    <i>
      <x/>
    </i>
    <i>
      <x v="5"/>
    </i>
    <i>
      <x v="4"/>
    </i>
    <i>
      <x v="6"/>
    </i>
    <i t="grand">
      <x/>
    </i>
  </rowItems>
  <colItems count="1">
    <i/>
  </colItems>
  <dataFields count="1">
    <dataField name="Count of Department Referral" fld="3" subtotal="count" baseField="0" baseItem="0"/>
  </dataFields>
  <formats count="2">
    <format dxfId="190">
      <pivotArea outline="0" collapsedLevelsAreSubtotals="1" fieldPosition="0"/>
    </format>
    <format dxfId="189">
      <pivotArea collapsedLevelsAreSubtotals="1" fieldPosition="0">
        <references count="1">
          <reference field="2" count="0"/>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115325-76DB-46C5-A694-EB92F9B4A5CF}" name="PivotTable5" cacheId="456" applyNumberFormats="0" applyBorderFormats="0" applyFontFormats="0" applyPatternFormats="0" applyAlignmentFormats="0" applyWidthHeightFormats="1" dataCaption="Values" tag="e4510c29-61aa-4042-b7cd-d4602edeae81" updatedVersion="8" minRefreshableVersion="3" subtotalHiddenItems="1" itemPrintTitles="1" createdVersion="5" indent="0" outline="1" outlineData="1" multipleFieldFilters="0" chartFormat="27">
  <location ref="I3:J35"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91">
      <pivotArea collapsedLevelsAreSubtotals="1" fieldPosition="0">
        <references count="1">
          <reference field="0" count="0"/>
        </references>
      </pivotArea>
    </format>
  </formats>
  <chartFormats count="4">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9B9B7F-06FE-44C7-A976-A9F6DA112815}" name="PivotTable6" cacheId="459" applyNumberFormats="0" applyBorderFormats="0" applyFontFormats="0" applyPatternFormats="0" applyAlignmentFormats="0" applyWidthHeightFormats="1" dataCaption="Values" tag="e4510c29-61aa-4042-b7cd-d4602edeae81" updatedVersion="8" minRefreshableVersion="3" subtotalHiddenItems="1" itemPrintTitles="1" createdVersion="5" indent="0" outline="1" outlineData="1" multipleFieldFilters="0" chartFormat="38">
  <location ref="L4:M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93">
      <pivotArea collapsedLevelsAreSubtotals="1" fieldPosition="0">
        <references count="1">
          <reference field="0" count="0"/>
        </references>
      </pivotArea>
    </format>
    <format dxfId="192">
      <pivotArea grandRow="1" outline="0" collapsedLevelsAreSubtotals="1" fieldPosition="0"/>
    </format>
  </formats>
  <chartFormats count="3">
    <chartFormat chart="29"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dataset_datetime]"/>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7D3AE37-3929-4D40-850A-93D3207EC5B8}" autoFormatId="16" applyNumberFormats="0" applyBorderFormats="0" applyFontFormats="0" applyPatternFormats="0" applyAlignmentFormats="0" applyWidthHeightFormats="0">
  <queryTableRefresh nextId="14">
    <queryTableFields count="13">
      <queryTableField id="1" name="hospital_dataset_datetime[Patient Id.1]" tableColumnId="1"/>
      <queryTableField id="2" name="hospital_dataset_datetime[Merged]" tableColumnId="2"/>
      <queryTableField id="3" name="hospital_dataset_datetime[Patient Gender]" tableColumnId="3"/>
      <queryTableField id="4" name="hospital_dataset_datetime[Patient Age]" tableColumnId="4"/>
      <queryTableField id="5" name="hospital_dataset_datetime[Patient Race]" tableColumnId="5"/>
      <queryTableField id="6" name="hospital_dataset_datetime[Patient Admission Date]" tableColumnId="6"/>
      <queryTableField id="7" name="hospital_dataset_datetime[Patient Admission Time]" tableColumnId="7"/>
      <queryTableField id="8" name="hospital_dataset_datetime[Patient Admission Flag]" tableColumnId="8"/>
      <queryTableField id="9" name="hospital_dataset_datetime[Department Referral]" tableColumnId="9"/>
      <queryTableField id="10" name="hospital_dataset_datetime[Patient Waittime]" tableColumnId="10"/>
      <queryTableField id="11" name="hospital_dataset_datetime[Patient Satisfaction Score]" tableColumnId="11"/>
      <queryTableField id="12" name="hospital_dataset_datetime[Age Group]" tableColumnId="12"/>
      <queryTableField id="13" name="hospital_dataset_datetime[Calculated Column 1]" tableColumnId="13"/>
    </queryTableFields>
  </queryTableRefresh>
  <extLst>
    <ext xmlns:x15="http://schemas.microsoft.com/office/spreadsheetml/2010/11/main" uri="{883FBD77-0823-4a55-B5E3-86C4891E6966}">
      <x15:queryTable drillThrough="1"/>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262AC2F-6B5C-44AF-848E-3DC96957206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s>
  <data>
    <olap pivotCacheId="119152903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nd="1"/>
              <i n="[Calendar_Table].[Date (Month)].&amp;[Aug]" c="Aug" nd="1"/>
              <i n="[Calendar_Table].[Date (Month)].&amp;[Sep]" c="Sep" nd="1"/>
              <i n="[Calendar_Table].[Date (Month)].&amp;[Oct]" c="Oct" nd="1"/>
              <i n="[Calendar_Table].[Date (Month)].&amp;[Nov]" c="Nov" nd="1"/>
              <i n="[Calendar_Table].[Date (Month)].&amp;[Dec]" c="Dec" nd="1"/>
            </range>
          </ranges>
        </level>
      </levels>
      <selections count="1">
        <selection n="[Calendar_Table].[Date (Month)].&amp;[Jan]"/>
      </selections>
    </olap>
  </data>
  <extLst>
    <x:ext xmlns:x15="http://schemas.microsoft.com/office/spreadsheetml/2010/11/main" uri="{470722E0-AACD-4C17-9CDC-17EF765DBC7E}">
      <x15:slicerCacheHideItemsWithNoData count="1">
        <x15:slicerCacheOlapLevelName uniqueName="[Calendar_Table].[Date (Month)].[Date (Month)]"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B7EB879-AD32-4413-9482-4C2EDFABFB32}" cache="Slicer_Date__Month" caption="Date (Month)" showCaption="0" level="1" style="KHAN"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358FCB-DA94-407E-B081-7955AE82757B}" name="Table_ExternalData_1" displayName="Table_ExternalData_1" ref="A3:M64" tableType="queryTable" totalsRowShown="0">
  <autoFilter ref="A3:M64" xr:uid="{D8358FCB-DA94-407E-B081-7955AE82757B}"/>
  <tableColumns count="13">
    <tableColumn id="1" xr3:uid="{2D8CE68D-A3EE-4CE4-9918-83695E39C29F}" uniqueName="1" name="hospital_dataset_datetime[Patient Id.1]" queryTableFieldId="1"/>
    <tableColumn id="2" xr3:uid="{080699CB-A306-4327-80F1-C504A580B25C}" uniqueName="2" name="hospital_dataset_datetime[Merged]" queryTableFieldId="2"/>
    <tableColumn id="3" xr3:uid="{77FDC217-2CEE-4011-8DD6-2146614BEF9E}" uniqueName="3" name="hospital_[Patient Gender]" queryTableFieldId="3"/>
    <tableColumn id="4" xr3:uid="{4485D756-FF86-4FF7-B515-51E81A6F50B5}" uniqueName="4" name="hospital_dataset_datetime[Patient Age]" queryTableFieldId="4"/>
    <tableColumn id="5" xr3:uid="{3CAECBCD-FE02-40D4-8D5B-11BDFEAECC9A}" uniqueName="5" name="hospital_dataset_datetime[Patient Race]" queryTableFieldId="5"/>
    <tableColumn id="6" xr3:uid="{D6B09E8B-D123-488C-BC30-8CAED84D3CCF}" uniqueName="6" name="hospital_dataset_datetime[Patient Admission Date]" queryTableFieldId="6" dataDxfId="195"/>
    <tableColumn id="7" xr3:uid="{D1B90693-D314-4EC6-90A2-1D363F341DB9}" uniqueName="7" name="hospital_dataset_datetime[Patient Admission Time]" queryTableFieldId="7" dataDxfId="194"/>
    <tableColumn id="8" xr3:uid="{3A6BD823-2C08-46A6-AE72-138CDAD603CD}" uniqueName="8" name="hospital_dataset_datetime[Patient Admission Flag]" queryTableFieldId="8"/>
    <tableColumn id="9" xr3:uid="{EA004220-253B-499B-8C6F-74781DA46232}" uniqueName="9" name="hospital_dataset_datetime[Department Referral]" queryTableFieldId="9"/>
    <tableColumn id="10" xr3:uid="{34106CFA-D162-499E-99AB-B2A51C1BFCA2}" uniqueName="10" name="hospital_dataset_datetime[Patient Waittime]" queryTableFieldId="10"/>
    <tableColumn id="11" xr3:uid="{ABA0B905-07F6-4786-BDCC-458B8C93A863}" uniqueName="11" name="hospital_dataset_datetime[Patient Satisfaction Score]" queryTableFieldId="11"/>
    <tableColumn id="12" xr3:uid="{C4EAAD6D-B09E-4FB8-AC9D-7F5CD009E852}" uniqueName="12" name="hospital_dataset_datetime[Age Group]" queryTableFieldId="12"/>
    <tableColumn id="13" xr3:uid="{82EE2633-E5B6-41AF-919C-5D096FB79AD9}" uniqueName="13" name="hospital_dataset_datetime[Calculated Column 1]"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DDFF-CB67-4826-9769-AEB46A91585E}">
  <dimension ref="A1:M64"/>
  <sheetViews>
    <sheetView workbookViewId="0">
      <selection activeCell="C2" sqref="C2"/>
    </sheetView>
  </sheetViews>
  <sheetFormatPr defaultRowHeight="14.4" x14ac:dyDescent="0.3"/>
  <cols>
    <col min="1" max="1" width="37.33203125" bestFit="1" customWidth="1"/>
    <col min="2" max="2" width="34.109375" bestFit="1" customWidth="1"/>
    <col min="3" max="3" width="40.33203125" bestFit="1" customWidth="1"/>
    <col min="4" max="4" width="37.33203125" bestFit="1" customWidth="1"/>
    <col min="5" max="5" width="38.109375" bestFit="1" customWidth="1"/>
    <col min="6" max="6" width="47.33203125" bestFit="1" customWidth="1"/>
    <col min="7" max="7" width="47.5546875" bestFit="1" customWidth="1"/>
    <col min="8" max="8" width="46.77734375" bestFit="1" customWidth="1"/>
    <col min="9" max="9" width="45" bestFit="1" customWidth="1"/>
    <col min="10" max="10" width="41.88671875" bestFit="1" customWidth="1"/>
    <col min="11" max="11" width="49.33203125" bestFit="1" customWidth="1"/>
    <col min="12" max="12" width="36.5546875" bestFit="1" customWidth="1"/>
    <col min="13" max="13" width="45.109375" bestFit="1" customWidth="1"/>
  </cols>
  <sheetData>
    <row r="1" spans="1:13" x14ac:dyDescent="0.3">
      <c r="A1" s="7" t="s">
        <v>122</v>
      </c>
    </row>
    <row r="3" spans="1:13" x14ac:dyDescent="0.3">
      <c r="A3" t="s">
        <v>7</v>
      </c>
      <c r="B3" t="s">
        <v>8</v>
      </c>
      <c r="C3" t="s">
        <v>123</v>
      </c>
      <c r="D3" t="s">
        <v>9</v>
      </c>
      <c r="E3" t="s">
        <v>10</v>
      </c>
      <c r="F3" t="s">
        <v>11</v>
      </c>
      <c r="G3" t="s">
        <v>12</v>
      </c>
      <c r="H3" t="s">
        <v>13</v>
      </c>
      <c r="I3" t="s">
        <v>14</v>
      </c>
      <c r="J3" t="s">
        <v>15</v>
      </c>
      <c r="K3" t="s">
        <v>16</v>
      </c>
      <c r="L3" t="s">
        <v>17</v>
      </c>
      <c r="M3" t="s">
        <v>18</v>
      </c>
    </row>
    <row r="4" spans="1:13" x14ac:dyDescent="0.3">
      <c r="A4" t="s">
        <v>19</v>
      </c>
      <c r="B4" t="s">
        <v>68</v>
      </c>
      <c r="C4" t="s">
        <v>20</v>
      </c>
      <c r="D4">
        <v>72</v>
      </c>
      <c r="E4" t="s">
        <v>33</v>
      </c>
      <c r="F4" s="5">
        <v>45360</v>
      </c>
      <c r="G4" s="6">
        <v>0.74275462962962968</v>
      </c>
      <c r="H4" t="s">
        <v>22</v>
      </c>
      <c r="I4" t="s">
        <v>39</v>
      </c>
      <c r="J4">
        <v>53</v>
      </c>
      <c r="K4">
        <v>3</v>
      </c>
      <c r="L4" t="s">
        <v>40</v>
      </c>
      <c r="M4" t="s">
        <v>25</v>
      </c>
    </row>
    <row r="5" spans="1:13" x14ac:dyDescent="0.3">
      <c r="A5" t="s">
        <v>19</v>
      </c>
      <c r="B5" t="s">
        <v>69</v>
      </c>
      <c r="C5" t="s">
        <v>26</v>
      </c>
      <c r="D5">
        <v>50</v>
      </c>
      <c r="E5" t="s">
        <v>33</v>
      </c>
      <c r="F5" s="5">
        <v>45365</v>
      </c>
      <c r="G5" s="6">
        <v>0.31435185185185183</v>
      </c>
      <c r="H5" t="s">
        <v>22</v>
      </c>
      <c r="I5" t="s">
        <v>39</v>
      </c>
      <c r="J5">
        <v>105</v>
      </c>
      <c r="K5">
        <v>3</v>
      </c>
      <c r="L5" t="s">
        <v>24</v>
      </c>
      <c r="M5" t="s">
        <v>25</v>
      </c>
    </row>
    <row r="6" spans="1:13" x14ac:dyDescent="0.3">
      <c r="A6" t="s">
        <v>19</v>
      </c>
      <c r="B6" t="s">
        <v>70</v>
      </c>
      <c r="C6" t="s">
        <v>26</v>
      </c>
      <c r="D6">
        <v>33</v>
      </c>
      <c r="E6" t="s">
        <v>33</v>
      </c>
      <c r="F6" s="5">
        <v>45362</v>
      </c>
      <c r="G6" s="6">
        <v>0.51231481481481478</v>
      </c>
      <c r="H6" t="s">
        <v>34</v>
      </c>
      <c r="I6" t="s">
        <v>39</v>
      </c>
      <c r="J6">
        <v>82</v>
      </c>
      <c r="K6">
        <v>3</v>
      </c>
      <c r="L6" t="s">
        <v>42</v>
      </c>
      <c r="M6" t="s">
        <v>25</v>
      </c>
    </row>
    <row r="7" spans="1:13" x14ac:dyDescent="0.3">
      <c r="A7" t="s">
        <v>19</v>
      </c>
      <c r="B7" t="s">
        <v>71</v>
      </c>
      <c r="C7" t="s">
        <v>26</v>
      </c>
      <c r="D7">
        <v>43</v>
      </c>
      <c r="E7" t="s">
        <v>33</v>
      </c>
      <c r="F7" s="5">
        <v>45362</v>
      </c>
      <c r="G7" s="6">
        <v>0.80539351851851848</v>
      </c>
      <c r="H7" t="s">
        <v>22</v>
      </c>
      <c r="I7" t="s">
        <v>39</v>
      </c>
      <c r="J7">
        <v>74</v>
      </c>
      <c r="K7">
        <v>3</v>
      </c>
      <c r="L7" t="s">
        <v>24</v>
      </c>
      <c r="M7" t="s">
        <v>25</v>
      </c>
    </row>
    <row r="8" spans="1:13" x14ac:dyDescent="0.3">
      <c r="A8" t="s">
        <v>19</v>
      </c>
      <c r="B8" t="s">
        <v>72</v>
      </c>
      <c r="C8" t="s">
        <v>20</v>
      </c>
      <c r="D8">
        <v>30</v>
      </c>
      <c r="E8" t="s">
        <v>21</v>
      </c>
      <c r="F8" s="5">
        <v>45375</v>
      </c>
      <c r="G8" s="6">
        <v>4.3576388888888887E-2</v>
      </c>
      <c r="H8" t="s">
        <v>34</v>
      </c>
      <c r="I8" t="s">
        <v>39</v>
      </c>
      <c r="J8">
        <v>11</v>
      </c>
      <c r="K8">
        <v>3</v>
      </c>
      <c r="L8" t="s">
        <v>57</v>
      </c>
      <c r="M8" t="s">
        <v>29</v>
      </c>
    </row>
    <row r="9" spans="1:13" x14ac:dyDescent="0.3">
      <c r="A9" t="s">
        <v>19</v>
      </c>
      <c r="B9" t="s">
        <v>73</v>
      </c>
      <c r="C9" t="s">
        <v>26</v>
      </c>
      <c r="D9">
        <v>60</v>
      </c>
      <c r="E9" t="s">
        <v>21</v>
      </c>
      <c r="F9" s="5">
        <v>45365</v>
      </c>
      <c r="G9" s="6">
        <v>0.15628472222222223</v>
      </c>
      <c r="H9" t="s">
        <v>34</v>
      </c>
      <c r="I9" t="s">
        <v>39</v>
      </c>
      <c r="J9">
        <v>36</v>
      </c>
      <c r="K9">
        <v>3</v>
      </c>
      <c r="L9" t="s">
        <v>28</v>
      </c>
      <c r="M9" t="s">
        <v>29</v>
      </c>
    </row>
    <row r="10" spans="1:13" x14ac:dyDescent="0.3">
      <c r="A10" t="s">
        <v>19</v>
      </c>
      <c r="B10" t="s">
        <v>74</v>
      </c>
      <c r="C10" t="s">
        <v>20</v>
      </c>
      <c r="D10">
        <v>26</v>
      </c>
      <c r="E10" t="s">
        <v>21</v>
      </c>
      <c r="F10" s="5">
        <v>45376</v>
      </c>
      <c r="G10" s="6">
        <v>0.9986342592592593</v>
      </c>
      <c r="H10" t="s">
        <v>34</v>
      </c>
      <c r="I10" t="s">
        <v>39</v>
      </c>
      <c r="J10">
        <v>73</v>
      </c>
      <c r="K10">
        <v>3</v>
      </c>
      <c r="L10" t="s">
        <v>57</v>
      </c>
      <c r="M10" t="s">
        <v>25</v>
      </c>
    </row>
    <row r="11" spans="1:13" x14ac:dyDescent="0.3">
      <c r="A11" t="s">
        <v>19</v>
      </c>
      <c r="B11" t="s">
        <v>75</v>
      </c>
      <c r="C11" t="s">
        <v>26</v>
      </c>
      <c r="E11" t="s">
        <v>21</v>
      </c>
      <c r="F11" s="5">
        <v>45369</v>
      </c>
      <c r="G11" s="6">
        <v>0.37472222222222223</v>
      </c>
      <c r="H11" t="s">
        <v>34</v>
      </c>
      <c r="I11" t="s">
        <v>39</v>
      </c>
      <c r="J11">
        <v>119</v>
      </c>
      <c r="K11">
        <v>3</v>
      </c>
      <c r="L11" t="s">
        <v>57</v>
      </c>
      <c r="M11" t="s">
        <v>25</v>
      </c>
    </row>
    <row r="12" spans="1:13" x14ac:dyDescent="0.3">
      <c r="A12" t="s">
        <v>19</v>
      </c>
      <c r="B12" t="s">
        <v>76</v>
      </c>
      <c r="C12" t="s">
        <v>20</v>
      </c>
      <c r="D12">
        <v>70</v>
      </c>
      <c r="E12" t="s">
        <v>38</v>
      </c>
      <c r="F12" s="5">
        <v>45363</v>
      </c>
      <c r="G12" s="6">
        <v>0.17403935185185185</v>
      </c>
      <c r="H12" t="s">
        <v>34</v>
      </c>
      <c r="I12" t="s">
        <v>39</v>
      </c>
      <c r="J12">
        <v>39</v>
      </c>
      <c r="K12">
        <v>3</v>
      </c>
      <c r="L12" t="s">
        <v>36</v>
      </c>
      <c r="M12" t="s">
        <v>29</v>
      </c>
    </row>
    <row r="13" spans="1:13" x14ac:dyDescent="0.3">
      <c r="A13" t="s">
        <v>19</v>
      </c>
      <c r="B13" t="s">
        <v>77</v>
      </c>
      <c r="C13" t="s">
        <v>26</v>
      </c>
      <c r="D13">
        <v>46</v>
      </c>
      <c r="E13" t="s">
        <v>38</v>
      </c>
      <c r="F13" s="5">
        <v>45377</v>
      </c>
      <c r="G13" s="6">
        <v>0.16980324074074074</v>
      </c>
      <c r="H13" t="s">
        <v>22</v>
      </c>
      <c r="I13" t="s">
        <v>39</v>
      </c>
      <c r="J13">
        <v>45</v>
      </c>
      <c r="K13">
        <v>3</v>
      </c>
      <c r="L13" t="s">
        <v>24</v>
      </c>
      <c r="M13" t="s">
        <v>25</v>
      </c>
    </row>
    <row r="14" spans="1:13" x14ac:dyDescent="0.3">
      <c r="A14" t="s">
        <v>19</v>
      </c>
      <c r="B14" t="s">
        <v>78</v>
      </c>
      <c r="C14" t="s">
        <v>20</v>
      </c>
      <c r="D14">
        <v>34</v>
      </c>
      <c r="E14" t="s">
        <v>38</v>
      </c>
      <c r="F14" s="5">
        <v>45370</v>
      </c>
      <c r="G14" s="6">
        <v>0.38988425925925924</v>
      </c>
      <c r="H14" t="s">
        <v>34</v>
      </c>
      <c r="I14" t="s">
        <v>39</v>
      </c>
      <c r="J14">
        <v>58</v>
      </c>
      <c r="K14">
        <v>3</v>
      </c>
      <c r="L14" t="s">
        <v>42</v>
      </c>
      <c r="M14" t="s">
        <v>25</v>
      </c>
    </row>
    <row r="15" spans="1:13" x14ac:dyDescent="0.3">
      <c r="A15" t="s">
        <v>19</v>
      </c>
      <c r="B15" t="s">
        <v>79</v>
      </c>
      <c r="C15" t="s">
        <v>26</v>
      </c>
      <c r="D15">
        <v>27</v>
      </c>
      <c r="E15" t="s">
        <v>48</v>
      </c>
      <c r="F15" s="5">
        <v>45381</v>
      </c>
      <c r="G15" s="6">
        <v>0.88885416666666661</v>
      </c>
      <c r="H15" t="s">
        <v>22</v>
      </c>
      <c r="I15" t="s">
        <v>39</v>
      </c>
      <c r="J15">
        <v>38</v>
      </c>
      <c r="K15">
        <v>3</v>
      </c>
      <c r="L15" t="s">
        <v>57</v>
      </c>
      <c r="M15" t="s">
        <v>29</v>
      </c>
    </row>
    <row r="16" spans="1:13" x14ac:dyDescent="0.3">
      <c r="A16" t="s">
        <v>19</v>
      </c>
      <c r="B16" t="s">
        <v>80</v>
      </c>
      <c r="C16" t="s">
        <v>26</v>
      </c>
      <c r="D16">
        <v>36</v>
      </c>
      <c r="E16" t="s">
        <v>48</v>
      </c>
      <c r="F16" s="5">
        <v>45372</v>
      </c>
      <c r="G16" s="6">
        <v>0.2784490740740741</v>
      </c>
      <c r="H16" t="s">
        <v>22</v>
      </c>
      <c r="I16" t="s">
        <v>39</v>
      </c>
      <c r="J16">
        <v>113</v>
      </c>
      <c r="K16">
        <v>3</v>
      </c>
      <c r="L16" t="s">
        <v>42</v>
      </c>
      <c r="M16" t="s">
        <v>25</v>
      </c>
    </row>
    <row r="17" spans="1:13" x14ac:dyDescent="0.3">
      <c r="A17" t="s">
        <v>19</v>
      </c>
      <c r="B17" t="s">
        <v>81</v>
      </c>
      <c r="C17" t="s">
        <v>26</v>
      </c>
      <c r="D17">
        <v>63</v>
      </c>
      <c r="E17" t="s">
        <v>48</v>
      </c>
      <c r="F17" s="5">
        <v>45364</v>
      </c>
      <c r="G17" s="6">
        <v>0.50365740740740739</v>
      </c>
      <c r="H17" t="s">
        <v>22</v>
      </c>
      <c r="I17" t="s">
        <v>39</v>
      </c>
      <c r="J17">
        <v>10</v>
      </c>
      <c r="K17">
        <v>3</v>
      </c>
      <c r="L17" t="s">
        <v>36</v>
      </c>
      <c r="M17" t="s">
        <v>29</v>
      </c>
    </row>
    <row r="18" spans="1:13" x14ac:dyDescent="0.3">
      <c r="A18" t="s">
        <v>19</v>
      </c>
      <c r="B18" t="s">
        <v>82</v>
      </c>
      <c r="C18" t="s">
        <v>20</v>
      </c>
      <c r="D18">
        <v>50</v>
      </c>
      <c r="E18" t="s">
        <v>48</v>
      </c>
      <c r="F18" s="5">
        <v>45367</v>
      </c>
      <c r="G18" s="6">
        <v>0.4287037037037037</v>
      </c>
      <c r="H18" t="s">
        <v>22</v>
      </c>
      <c r="I18" t="s">
        <v>39</v>
      </c>
      <c r="J18">
        <v>60</v>
      </c>
      <c r="K18">
        <v>3</v>
      </c>
      <c r="L18" t="s">
        <v>24</v>
      </c>
      <c r="M18" t="s">
        <v>25</v>
      </c>
    </row>
    <row r="19" spans="1:13" x14ac:dyDescent="0.3">
      <c r="A19" t="s">
        <v>19</v>
      </c>
      <c r="B19" t="s">
        <v>83</v>
      </c>
      <c r="C19" t="s">
        <v>26</v>
      </c>
      <c r="D19">
        <v>40</v>
      </c>
      <c r="E19" t="s">
        <v>44</v>
      </c>
      <c r="F19" s="5">
        <v>45380</v>
      </c>
      <c r="G19" s="6">
        <v>0.59696759259259258</v>
      </c>
      <c r="H19" t="s">
        <v>22</v>
      </c>
      <c r="I19" t="s">
        <v>39</v>
      </c>
      <c r="J19">
        <v>54</v>
      </c>
      <c r="K19">
        <v>3</v>
      </c>
      <c r="L19" t="s">
        <v>42</v>
      </c>
      <c r="M19" t="s">
        <v>25</v>
      </c>
    </row>
    <row r="20" spans="1:13" x14ac:dyDescent="0.3">
      <c r="A20" t="s">
        <v>19</v>
      </c>
      <c r="B20" t="s">
        <v>84</v>
      </c>
      <c r="C20" t="s">
        <v>20</v>
      </c>
      <c r="D20">
        <v>59</v>
      </c>
      <c r="E20" t="s">
        <v>31</v>
      </c>
      <c r="F20" s="5">
        <v>45380</v>
      </c>
      <c r="G20" s="6">
        <v>0.50119212962962967</v>
      </c>
      <c r="H20" t="s">
        <v>34</v>
      </c>
      <c r="I20" t="s">
        <v>39</v>
      </c>
      <c r="J20">
        <v>76</v>
      </c>
      <c r="K20">
        <v>3</v>
      </c>
      <c r="L20" t="s">
        <v>28</v>
      </c>
      <c r="M20" t="s">
        <v>25</v>
      </c>
    </row>
    <row r="21" spans="1:13" x14ac:dyDescent="0.3">
      <c r="A21" t="s">
        <v>19</v>
      </c>
      <c r="B21" t="s">
        <v>85</v>
      </c>
      <c r="C21" t="s">
        <v>26</v>
      </c>
      <c r="D21">
        <v>76</v>
      </c>
      <c r="E21" t="s">
        <v>31</v>
      </c>
      <c r="F21" s="5">
        <v>45354</v>
      </c>
      <c r="G21" s="6">
        <v>0.17273148148148149</v>
      </c>
      <c r="H21" t="s">
        <v>34</v>
      </c>
      <c r="I21" t="s">
        <v>39</v>
      </c>
      <c r="J21">
        <v>50</v>
      </c>
      <c r="K21">
        <v>3</v>
      </c>
      <c r="L21" t="s">
        <v>40</v>
      </c>
      <c r="M21" t="s">
        <v>25</v>
      </c>
    </row>
    <row r="22" spans="1:13" x14ac:dyDescent="0.3">
      <c r="A22" t="s">
        <v>19</v>
      </c>
      <c r="B22" t="s">
        <v>86</v>
      </c>
      <c r="C22" t="s">
        <v>26</v>
      </c>
      <c r="D22">
        <v>58</v>
      </c>
      <c r="E22" t="s">
        <v>31</v>
      </c>
      <c r="F22" s="5">
        <v>45364</v>
      </c>
      <c r="G22" s="6">
        <v>2.0995370370370369E-2</v>
      </c>
      <c r="H22" t="s">
        <v>22</v>
      </c>
      <c r="I22" t="s">
        <v>39</v>
      </c>
      <c r="J22">
        <v>78</v>
      </c>
      <c r="K22">
        <v>3</v>
      </c>
      <c r="L22" t="s">
        <v>28</v>
      </c>
      <c r="M22" t="s">
        <v>25</v>
      </c>
    </row>
    <row r="23" spans="1:13" x14ac:dyDescent="0.3">
      <c r="A23" t="s">
        <v>19</v>
      </c>
      <c r="B23" t="s">
        <v>83</v>
      </c>
      <c r="C23" t="s">
        <v>26</v>
      </c>
      <c r="D23">
        <v>60</v>
      </c>
      <c r="E23" t="s">
        <v>31</v>
      </c>
      <c r="F23" s="5">
        <v>45366</v>
      </c>
      <c r="G23" s="6">
        <v>0.46446759259259257</v>
      </c>
      <c r="H23" t="s">
        <v>34</v>
      </c>
      <c r="I23" t="s">
        <v>39</v>
      </c>
      <c r="J23">
        <v>16</v>
      </c>
      <c r="K23">
        <v>3</v>
      </c>
      <c r="L23" t="s">
        <v>28</v>
      </c>
      <c r="M23" t="s">
        <v>29</v>
      </c>
    </row>
    <row r="24" spans="1:13" x14ac:dyDescent="0.3">
      <c r="A24" t="s">
        <v>19</v>
      </c>
      <c r="B24" t="s">
        <v>87</v>
      </c>
      <c r="C24" t="s">
        <v>20</v>
      </c>
      <c r="D24">
        <v>66</v>
      </c>
      <c r="E24" t="s">
        <v>31</v>
      </c>
      <c r="F24" s="5">
        <v>45373</v>
      </c>
      <c r="G24" s="6">
        <v>0.44406250000000003</v>
      </c>
      <c r="H24" t="s">
        <v>22</v>
      </c>
      <c r="I24" t="s">
        <v>39</v>
      </c>
      <c r="J24">
        <v>57</v>
      </c>
      <c r="K24">
        <v>3</v>
      </c>
      <c r="L24" t="s">
        <v>36</v>
      </c>
      <c r="M24" t="s">
        <v>25</v>
      </c>
    </row>
    <row r="25" spans="1:13" x14ac:dyDescent="0.3">
      <c r="A25" t="s">
        <v>19</v>
      </c>
      <c r="B25" t="s">
        <v>88</v>
      </c>
      <c r="C25" t="s">
        <v>26</v>
      </c>
      <c r="D25">
        <v>61</v>
      </c>
      <c r="E25" t="s">
        <v>33</v>
      </c>
      <c r="F25" s="5">
        <v>45380</v>
      </c>
      <c r="G25" s="6">
        <v>0.29696759259259259</v>
      </c>
      <c r="H25" t="s">
        <v>34</v>
      </c>
      <c r="I25" t="s">
        <v>39</v>
      </c>
      <c r="J25">
        <v>46</v>
      </c>
      <c r="K25">
        <v>4</v>
      </c>
      <c r="L25" t="s">
        <v>36</v>
      </c>
      <c r="M25" t="s">
        <v>25</v>
      </c>
    </row>
    <row r="26" spans="1:13" x14ac:dyDescent="0.3">
      <c r="A26" t="s">
        <v>19</v>
      </c>
      <c r="B26" t="s">
        <v>89</v>
      </c>
      <c r="C26" t="s">
        <v>26</v>
      </c>
      <c r="D26">
        <v>65</v>
      </c>
      <c r="E26" t="s">
        <v>31</v>
      </c>
      <c r="F26" s="5">
        <v>45370</v>
      </c>
      <c r="G26" s="6">
        <v>0.15379629629629629</v>
      </c>
      <c r="H26" t="s">
        <v>34</v>
      </c>
      <c r="I26" t="s">
        <v>39</v>
      </c>
      <c r="J26">
        <v>75</v>
      </c>
      <c r="K26">
        <v>4</v>
      </c>
      <c r="L26" t="s">
        <v>36</v>
      </c>
      <c r="M26" t="s">
        <v>25</v>
      </c>
    </row>
    <row r="27" spans="1:13" x14ac:dyDescent="0.3">
      <c r="A27" t="s">
        <v>19</v>
      </c>
      <c r="B27" t="s">
        <v>37</v>
      </c>
      <c r="C27" t="s">
        <v>20</v>
      </c>
      <c r="D27">
        <v>71</v>
      </c>
      <c r="E27" t="s">
        <v>38</v>
      </c>
      <c r="F27" s="5">
        <v>45355</v>
      </c>
      <c r="G27" s="6">
        <v>0.52193287037037039</v>
      </c>
      <c r="H27" t="s">
        <v>34</v>
      </c>
      <c r="I27" t="s">
        <v>39</v>
      </c>
      <c r="J27">
        <v>63</v>
      </c>
      <c r="K27">
        <v>4</v>
      </c>
      <c r="L27" t="s">
        <v>40</v>
      </c>
      <c r="M27" t="s">
        <v>25</v>
      </c>
    </row>
    <row r="28" spans="1:13" x14ac:dyDescent="0.3">
      <c r="A28" t="s">
        <v>19</v>
      </c>
      <c r="B28" t="s">
        <v>90</v>
      </c>
      <c r="C28" t="s">
        <v>20</v>
      </c>
      <c r="D28">
        <v>75</v>
      </c>
      <c r="E28" t="s">
        <v>33</v>
      </c>
      <c r="F28" s="5">
        <v>45367</v>
      </c>
      <c r="G28" s="6">
        <v>7.1006944444444442E-2</v>
      </c>
      <c r="H28" t="s">
        <v>34</v>
      </c>
      <c r="I28" t="s">
        <v>39</v>
      </c>
      <c r="J28">
        <v>74</v>
      </c>
      <c r="K28">
        <v>4</v>
      </c>
      <c r="L28" t="s">
        <v>40</v>
      </c>
      <c r="M28" t="s">
        <v>25</v>
      </c>
    </row>
    <row r="29" spans="1:13" x14ac:dyDescent="0.3">
      <c r="A29" t="s">
        <v>19</v>
      </c>
      <c r="B29" t="s">
        <v>91</v>
      </c>
      <c r="C29" t="s">
        <v>26</v>
      </c>
      <c r="D29">
        <v>48</v>
      </c>
      <c r="E29" t="s">
        <v>48</v>
      </c>
      <c r="F29" s="5">
        <v>45362</v>
      </c>
      <c r="G29" s="6">
        <v>0.21693287037037037</v>
      </c>
      <c r="H29" t="s">
        <v>22</v>
      </c>
      <c r="I29" t="s">
        <v>39</v>
      </c>
      <c r="J29">
        <v>117</v>
      </c>
      <c r="K29">
        <v>2</v>
      </c>
      <c r="L29" t="s">
        <v>24</v>
      </c>
      <c r="M29" t="s">
        <v>25</v>
      </c>
    </row>
    <row r="30" spans="1:13" x14ac:dyDescent="0.3">
      <c r="A30" t="s">
        <v>19</v>
      </c>
      <c r="B30" t="s">
        <v>92</v>
      </c>
      <c r="C30" t="s">
        <v>26</v>
      </c>
      <c r="D30">
        <v>78</v>
      </c>
      <c r="E30" t="s">
        <v>33</v>
      </c>
      <c r="F30" s="5">
        <v>45374</v>
      </c>
      <c r="G30" s="6">
        <v>0.85746527777777781</v>
      </c>
      <c r="H30" t="s">
        <v>22</v>
      </c>
      <c r="I30" t="s">
        <v>39</v>
      </c>
      <c r="J30">
        <v>20</v>
      </c>
      <c r="K30">
        <v>2</v>
      </c>
      <c r="L30" t="s">
        <v>40</v>
      </c>
      <c r="M30" t="s">
        <v>29</v>
      </c>
    </row>
    <row r="31" spans="1:13" x14ac:dyDescent="0.3">
      <c r="A31" t="s">
        <v>19</v>
      </c>
      <c r="B31" t="s">
        <v>41</v>
      </c>
      <c r="C31" t="s">
        <v>26</v>
      </c>
      <c r="D31">
        <v>38</v>
      </c>
      <c r="E31" t="s">
        <v>33</v>
      </c>
      <c r="F31" s="5">
        <v>45355</v>
      </c>
      <c r="G31" s="6">
        <v>0.53140046296296295</v>
      </c>
      <c r="H31" t="s">
        <v>34</v>
      </c>
      <c r="I31" t="s">
        <v>39</v>
      </c>
      <c r="J31">
        <v>40</v>
      </c>
      <c r="K31">
        <v>2</v>
      </c>
      <c r="L31" t="s">
        <v>42</v>
      </c>
      <c r="M31" t="s">
        <v>29</v>
      </c>
    </row>
    <row r="32" spans="1:13" x14ac:dyDescent="0.3">
      <c r="A32" t="s">
        <v>19</v>
      </c>
      <c r="B32" t="s">
        <v>93</v>
      </c>
      <c r="C32" t="s">
        <v>26</v>
      </c>
      <c r="D32">
        <v>22</v>
      </c>
      <c r="E32" t="s">
        <v>33</v>
      </c>
      <c r="F32" s="5">
        <v>45364</v>
      </c>
      <c r="G32" s="6">
        <v>0.35030092592592593</v>
      </c>
      <c r="H32" t="s">
        <v>22</v>
      </c>
      <c r="I32" t="s">
        <v>39</v>
      </c>
      <c r="J32">
        <v>116</v>
      </c>
      <c r="K32">
        <v>2</v>
      </c>
      <c r="L32" t="s">
        <v>57</v>
      </c>
      <c r="M32" t="s">
        <v>25</v>
      </c>
    </row>
    <row r="33" spans="1:13" x14ac:dyDescent="0.3">
      <c r="A33" t="s">
        <v>19</v>
      </c>
      <c r="B33" t="s">
        <v>94</v>
      </c>
      <c r="C33" t="s">
        <v>20</v>
      </c>
      <c r="D33">
        <v>46</v>
      </c>
      <c r="E33" t="s">
        <v>48</v>
      </c>
      <c r="F33" s="5">
        <v>45370</v>
      </c>
      <c r="G33" s="6">
        <v>0.80402777777777779</v>
      </c>
      <c r="H33" t="s">
        <v>22</v>
      </c>
      <c r="I33" t="s">
        <v>39</v>
      </c>
      <c r="J33">
        <v>8</v>
      </c>
      <c r="K33">
        <v>2</v>
      </c>
      <c r="L33" t="s">
        <v>24</v>
      </c>
      <c r="M33" t="s">
        <v>29</v>
      </c>
    </row>
    <row r="34" spans="1:13" x14ac:dyDescent="0.3">
      <c r="A34" t="s">
        <v>19</v>
      </c>
      <c r="B34" t="s">
        <v>95</v>
      </c>
      <c r="C34" t="s">
        <v>20</v>
      </c>
      <c r="D34">
        <v>22</v>
      </c>
      <c r="E34" t="s">
        <v>48</v>
      </c>
      <c r="F34" s="5">
        <v>45358</v>
      </c>
      <c r="G34" s="6">
        <v>0.15234953703703705</v>
      </c>
      <c r="H34" t="s">
        <v>22</v>
      </c>
      <c r="I34" t="s">
        <v>39</v>
      </c>
      <c r="J34">
        <v>99</v>
      </c>
      <c r="K34">
        <v>2</v>
      </c>
      <c r="L34" t="s">
        <v>57</v>
      </c>
      <c r="M34" t="s">
        <v>25</v>
      </c>
    </row>
    <row r="35" spans="1:13" x14ac:dyDescent="0.3">
      <c r="A35" t="s">
        <v>19</v>
      </c>
      <c r="B35" t="s">
        <v>96</v>
      </c>
      <c r="C35" t="s">
        <v>20</v>
      </c>
      <c r="D35">
        <v>76</v>
      </c>
      <c r="E35" t="s">
        <v>31</v>
      </c>
      <c r="F35" s="5">
        <v>45378</v>
      </c>
      <c r="G35" s="6">
        <v>0.57983796296296297</v>
      </c>
      <c r="H35" t="s">
        <v>34</v>
      </c>
      <c r="I35" t="s">
        <v>39</v>
      </c>
      <c r="J35">
        <v>7</v>
      </c>
      <c r="K35">
        <v>2</v>
      </c>
      <c r="L35" t="s">
        <v>40</v>
      </c>
      <c r="M35" t="s">
        <v>29</v>
      </c>
    </row>
    <row r="36" spans="1:13" x14ac:dyDescent="0.3">
      <c r="A36" t="s">
        <v>19</v>
      </c>
      <c r="B36" t="s">
        <v>30</v>
      </c>
      <c r="C36" t="s">
        <v>26</v>
      </c>
      <c r="D36">
        <v>46</v>
      </c>
      <c r="E36" t="s">
        <v>31</v>
      </c>
      <c r="F36" s="5">
        <v>45376</v>
      </c>
      <c r="G36" s="6">
        <v>0.66859953703703701</v>
      </c>
      <c r="H36" t="s">
        <v>22</v>
      </c>
      <c r="I36" t="s">
        <v>39</v>
      </c>
      <c r="J36">
        <v>27</v>
      </c>
      <c r="K36">
        <v>2</v>
      </c>
      <c r="L36" t="s">
        <v>24</v>
      </c>
      <c r="M36" t="s">
        <v>29</v>
      </c>
    </row>
    <row r="37" spans="1:13" x14ac:dyDescent="0.3">
      <c r="A37" t="s">
        <v>19</v>
      </c>
      <c r="B37" t="s">
        <v>97</v>
      </c>
      <c r="C37" t="s">
        <v>20</v>
      </c>
      <c r="D37">
        <v>54</v>
      </c>
      <c r="E37" t="s">
        <v>31</v>
      </c>
      <c r="F37" s="5">
        <v>45375</v>
      </c>
      <c r="G37" s="6">
        <v>0.61372685185185183</v>
      </c>
      <c r="H37" t="s">
        <v>22</v>
      </c>
      <c r="I37" t="s">
        <v>39</v>
      </c>
      <c r="J37">
        <v>55</v>
      </c>
      <c r="K37">
        <v>2</v>
      </c>
      <c r="L37" t="s">
        <v>28</v>
      </c>
      <c r="M37" t="s">
        <v>25</v>
      </c>
    </row>
    <row r="38" spans="1:13" x14ac:dyDescent="0.3">
      <c r="A38" t="s">
        <v>19</v>
      </c>
      <c r="B38" t="s">
        <v>43</v>
      </c>
      <c r="C38" t="s">
        <v>26</v>
      </c>
      <c r="D38">
        <v>55</v>
      </c>
      <c r="E38" t="s">
        <v>38</v>
      </c>
      <c r="F38" s="5">
        <v>45355</v>
      </c>
      <c r="G38" s="6">
        <v>0.26449074074074075</v>
      </c>
      <c r="H38" t="s">
        <v>34</v>
      </c>
      <c r="I38" t="s">
        <v>39</v>
      </c>
      <c r="J38">
        <v>12</v>
      </c>
      <c r="K38">
        <v>2</v>
      </c>
      <c r="L38" t="s">
        <v>28</v>
      </c>
      <c r="M38" t="s">
        <v>29</v>
      </c>
    </row>
    <row r="39" spans="1:13" x14ac:dyDescent="0.3">
      <c r="A39" t="s">
        <v>19</v>
      </c>
      <c r="B39" t="s">
        <v>98</v>
      </c>
      <c r="C39" t="s">
        <v>20</v>
      </c>
      <c r="D39">
        <v>25</v>
      </c>
      <c r="E39" t="s">
        <v>38</v>
      </c>
      <c r="F39" s="5">
        <v>45352</v>
      </c>
      <c r="G39" s="6">
        <v>0.99776620370370372</v>
      </c>
      <c r="H39" t="s">
        <v>22</v>
      </c>
      <c r="I39" t="s">
        <v>39</v>
      </c>
      <c r="J39">
        <v>9</v>
      </c>
      <c r="K39">
        <v>2</v>
      </c>
      <c r="L39" t="s">
        <v>57</v>
      </c>
      <c r="M39" t="s">
        <v>29</v>
      </c>
    </row>
    <row r="40" spans="1:13" x14ac:dyDescent="0.3">
      <c r="A40" t="s">
        <v>19</v>
      </c>
      <c r="B40" t="s">
        <v>99</v>
      </c>
      <c r="C40" t="s">
        <v>26</v>
      </c>
      <c r="D40">
        <v>61</v>
      </c>
      <c r="E40" t="s">
        <v>38</v>
      </c>
      <c r="F40" s="5">
        <v>45377</v>
      </c>
      <c r="G40" s="6">
        <v>0.97827546296296297</v>
      </c>
      <c r="H40" t="s">
        <v>22</v>
      </c>
      <c r="I40" t="s">
        <v>39</v>
      </c>
      <c r="J40">
        <v>78</v>
      </c>
      <c r="K40">
        <v>2</v>
      </c>
      <c r="L40" t="s">
        <v>36</v>
      </c>
      <c r="M40" t="s">
        <v>25</v>
      </c>
    </row>
    <row r="41" spans="1:13" x14ac:dyDescent="0.3">
      <c r="A41" t="s">
        <v>19</v>
      </c>
      <c r="B41" t="s">
        <v>100</v>
      </c>
      <c r="C41" t="s">
        <v>20</v>
      </c>
      <c r="D41">
        <v>42</v>
      </c>
      <c r="E41" t="s">
        <v>44</v>
      </c>
      <c r="F41" s="5">
        <v>45381</v>
      </c>
      <c r="G41" s="6">
        <v>0.8507986111111111</v>
      </c>
      <c r="H41" t="s">
        <v>22</v>
      </c>
      <c r="I41" t="s">
        <v>39</v>
      </c>
      <c r="J41">
        <v>6</v>
      </c>
      <c r="K41">
        <v>2</v>
      </c>
      <c r="L41" t="s">
        <v>24</v>
      </c>
      <c r="M41" t="s">
        <v>29</v>
      </c>
    </row>
    <row r="42" spans="1:13" x14ac:dyDescent="0.3">
      <c r="A42" t="s">
        <v>19</v>
      </c>
      <c r="B42" t="s">
        <v>101</v>
      </c>
      <c r="C42" t="s">
        <v>20</v>
      </c>
      <c r="D42">
        <v>50</v>
      </c>
      <c r="E42" t="s">
        <v>44</v>
      </c>
      <c r="F42" s="5">
        <v>45366</v>
      </c>
      <c r="G42" s="6">
        <v>0.7764699074074074</v>
      </c>
      <c r="H42" t="s">
        <v>34</v>
      </c>
      <c r="I42" t="s">
        <v>39</v>
      </c>
      <c r="J42">
        <v>86</v>
      </c>
      <c r="K42">
        <v>2</v>
      </c>
      <c r="L42" t="s">
        <v>24</v>
      </c>
      <c r="M42" t="s">
        <v>25</v>
      </c>
    </row>
    <row r="43" spans="1:13" x14ac:dyDescent="0.3">
      <c r="A43" t="s">
        <v>19</v>
      </c>
      <c r="B43" t="s">
        <v>102</v>
      </c>
      <c r="C43" t="s">
        <v>26</v>
      </c>
      <c r="D43">
        <v>79</v>
      </c>
      <c r="E43" t="s">
        <v>44</v>
      </c>
      <c r="F43" s="5">
        <v>45381</v>
      </c>
      <c r="G43" s="6">
        <v>0.28972222222222221</v>
      </c>
      <c r="H43" t="s">
        <v>34</v>
      </c>
      <c r="I43" t="s">
        <v>39</v>
      </c>
      <c r="J43">
        <v>109</v>
      </c>
      <c r="K43">
        <v>2</v>
      </c>
      <c r="L43" t="s">
        <v>40</v>
      </c>
      <c r="M43" t="s">
        <v>25</v>
      </c>
    </row>
    <row r="44" spans="1:13" x14ac:dyDescent="0.3">
      <c r="A44" t="s">
        <v>19</v>
      </c>
      <c r="B44" t="s">
        <v>46</v>
      </c>
      <c r="C44" t="s">
        <v>26</v>
      </c>
      <c r="D44">
        <v>34</v>
      </c>
      <c r="E44" t="s">
        <v>31</v>
      </c>
      <c r="F44" s="5">
        <v>45355</v>
      </c>
      <c r="G44" s="6">
        <v>0.83899305555555559</v>
      </c>
      <c r="H44" t="s">
        <v>22</v>
      </c>
      <c r="I44" t="s">
        <v>39</v>
      </c>
      <c r="J44">
        <v>98</v>
      </c>
      <c r="K44">
        <v>5</v>
      </c>
      <c r="L44" t="s">
        <v>42</v>
      </c>
      <c r="M44" t="s">
        <v>25</v>
      </c>
    </row>
    <row r="45" spans="1:13" x14ac:dyDescent="0.3">
      <c r="A45" t="s">
        <v>19</v>
      </c>
      <c r="B45" t="s">
        <v>103</v>
      </c>
      <c r="C45" t="s">
        <v>20</v>
      </c>
      <c r="D45">
        <v>67</v>
      </c>
      <c r="E45" t="s">
        <v>38</v>
      </c>
      <c r="F45" s="5">
        <v>45356</v>
      </c>
      <c r="G45" s="6">
        <v>0.43591435185185184</v>
      </c>
      <c r="H45" t="s">
        <v>34</v>
      </c>
      <c r="I45" t="s">
        <v>39</v>
      </c>
      <c r="J45">
        <v>40</v>
      </c>
      <c r="K45">
        <v>5</v>
      </c>
      <c r="L45" t="s">
        <v>36</v>
      </c>
      <c r="M45" t="s">
        <v>29</v>
      </c>
    </row>
    <row r="46" spans="1:13" x14ac:dyDescent="0.3">
      <c r="A46" t="s">
        <v>19</v>
      </c>
      <c r="B46" t="s">
        <v>104</v>
      </c>
      <c r="C46" t="s">
        <v>20</v>
      </c>
      <c r="D46">
        <v>57</v>
      </c>
      <c r="E46" t="s">
        <v>38</v>
      </c>
      <c r="F46" s="5">
        <v>45358</v>
      </c>
      <c r="G46" s="6">
        <v>0.90812499999999996</v>
      </c>
      <c r="H46" t="s">
        <v>34</v>
      </c>
      <c r="I46" t="s">
        <v>39</v>
      </c>
      <c r="J46">
        <v>113</v>
      </c>
      <c r="K46">
        <v>5</v>
      </c>
      <c r="L46" t="s">
        <v>28</v>
      </c>
      <c r="M46" t="s">
        <v>25</v>
      </c>
    </row>
    <row r="47" spans="1:13" x14ac:dyDescent="0.3">
      <c r="A47" t="s">
        <v>19</v>
      </c>
      <c r="B47" t="s">
        <v>105</v>
      </c>
      <c r="C47" t="s">
        <v>20</v>
      </c>
      <c r="D47">
        <v>68</v>
      </c>
      <c r="E47" t="s">
        <v>38</v>
      </c>
      <c r="F47" s="5">
        <v>45358</v>
      </c>
      <c r="G47" s="6">
        <v>0.95402777777777781</v>
      </c>
      <c r="H47" t="s">
        <v>22</v>
      </c>
      <c r="I47" t="s">
        <v>39</v>
      </c>
      <c r="J47">
        <v>80</v>
      </c>
      <c r="K47">
        <v>5</v>
      </c>
      <c r="L47" t="s">
        <v>36</v>
      </c>
      <c r="M47" t="s">
        <v>25</v>
      </c>
    </row>
    <row r="48" spans="1:13" x14ac:dyDescent="0.3">
      <c r="A48" t="s">
        <v>19</v>
      </c>
      <c r="B48" t="s">
        <v>106</v>
      </c>
      <c r="C48" t="s">
        <v>26</v>
      </c>
      <c r="D48">
        <v>20</v>
      </c>
      <c r="E48" t="s">
        <v>38</v>
      </c>
      <c r="F48" s="5">
        <v>45381</v>
      </c>
      <c r="G48" s="6">
        <v>0.33056712962962964</v>
      </c>
      <c r="H48" t="s">
        <v>22</v>
      </c>
      <c r="I48" t="s">
        <v>39</v>
      </c>
      <c r="J48">
        <v>13</v>
      </c>
      <c r="K48">
        <v>5</v>
      </c>
      <c r="L48" t="s">
        <v>56</v>
      </c>
      <c r="M48" t="s">
        <v>29</v>
      </c>
    </row>
    <row r="49" spans="1:13" x14ac:dyDescent="0.3">
      <c r="A49" t="s">
        <v>19</v>
      </c>
      <c r="B49" t="s">
        <v>107</v>
      </c>
      <c r="C49" t="s">
        <v>20</v>
      </c>
      <c r="D49">
        <v>68</v>
      </c>
      <c r="E49" t="s">
        <v>48</v>
      </c>
      <c r="F49" s="5">
        <v>45376</v>
      </c>
      <c r="G49" s="6">
        <v>0.95458333333333334</v>
      </c>
      <c r="H49" t="s">
        <v>22</v>
      </c>
      <c r="I49" t="s">
        <v>39</v>
      </c>
      <c r="J49">
        <v>12</v>
      </c>
      <c r="K49">
        <v>5</v>
      </c>
      <c r="L49" t="s">
        <v>36</v>
      </c>
      <c r="M49" t="s">
        <v>29</v>
      </c>
    </row>
    <row r="50" spans="1:13" x14ac:dyDescent="0.3">
      <c r="A50" t="s">
        <v>19</v>
      </c>
      <c r="B50" t="s">
        <v>108</v>
      </c>
      <c r="C50" t="s">
        <v>20</v>
      </c>
      <c r="D50">
        <v>23</v>
      </c>
      <c r="E50" t="s">
        <v>33</v>
      </c>
      <c r="F50" s="5">
        <v>45360</v>
      </c>
      <c r="G50" s="6">
        <v>0.93531249999999999</v>
      </c>
      <c r="H50" t="s">
        <v>22</v>
      </c>
      <c r="I50" t="s">
        <v>39</v>
      </c>
      <c r="J50">
        <v>68</v>
      </c>
      <c r="K50">
        <v>5</v>
      </c>
      <c r="L50" t="s">
        <v>57</v>
      </c>
      <c r="M50" t="s">
        <v>25</v>
      </c>
    </row>
    <row r="51" spans="1:13" x14ac:dyDescent="0.3">
      <c r="A51" t="s">
        <v>19</v>
      </c>
      <c r="B51" t="s">
        <v>109</v>
      </c>
      <c r="C51" t="s">
        <v>20</v>
      </c>
      <c r="D51">
        <v>69</v>
      </c>
      <c r="E51" t="s">
        <v>44</v>
      </c>
      <c r="F51" s="5">
        <v>45376</v>
      </c>
      <c r="G51" s="6">
        <v>0.70238425925925929</v>
      </c>
      <c r="H51" t="s">
        <v>34</v>
      </c>
      <c r="I51" t="s">
        <v>39</v>
      </c>
      <c r="J51">
        <v>8</v>
      </c>
      <c r="K51">
        <v>5</v>
      </c>
      <c r="L51" t="s">
        <v>36</v>
      </c>
      <c r="M51" t="s">
        <v>29</v>
      </c>
    </row>
    <row r="52" spans="1:13" x14ac:dyDescent="0.3">
      <c r="A52" t="s">
        <v>19</v>
      </c>
      <c r="B52" t="s">
        <v>110</v>
      </c>
      <c r="C52" t="s">
        <v>20</v>
      </c>
      <c r="D52">
        <v>58</v>
      </c>
      <c r="E52" t="s">
        <v>21</v>
      </c>
      <c r="F52" s="5">
        <v>45354</v>
      </c>
      <c r="G52" s="6">
        <v>1.6608796296296295E-2</v>
      </c>
      <c r="H52" t="s">
        <v>22</v>
      </c>
      <c r="I52" t="s">
        <v>39</v>
      </c>
      <c r="J52">
        <v>64</v>
      </c>
      <c r="K52">
        <v>5</v>
      </c>
      <c r="L52" t="s">
        <v>28</v>
      </c>
      <c r="M52" t="s">
        <v>25</v>
      </c>
    </row>
    <row r="53" spans="1:13" x14ac:dyDescent="0.3">
      <c r="A53" t="s">
        <v>19</v>
      </c>
      <c r="B53" t="s">
        <v>111</v>
      </c>
      <c r="C53" t="s">
        <v>26</v>
      </c>
      <c r="D53">
        <v>67</v>
      </c>
      <c r="E53" t="s">
        <v>21</v>
      </c>
      <c r="F53" s="5">
        <v>45366</v>
      </c>
      <c r="G53" s="6">
        <v>4.7685185185185183E-3</v>
      </c>
      <c r="H53" t="s">
        <v>34</v>
      </c>
      <c r="I53" t="s">
        <v>39</v>
      </c>
      <c r="J53">
        <v>40</v>
      </c>
      <c r="K53">
        <v>1</v>
      </c>
      <c r="L53" t="s">
        <v>36</v>
      </c>
      <c r="M53" t="s">
        <v>29</v>
      </c>
    </row>
    <row r="54" spans="1:13" x14ac:dyDescent="0.3">
      <c r="A54" t="s">
        <v>19</v>
      </c>
      <c r="B54" t="s">
        <v>112</v>
      </c>
      <c r="C54" t="s">
        <v>20</v>
      </c>
      <c r="D54">
        <v>47</v>
      </c>
      <c r="E54" t="s">
        <v>44</v>
      </c>
      <c r="F54" s="5">
        <v>45366</v>
      </c>
      <c r="G54" s="6">
        <v>0.88107638888888884</v>
      </c>
      <c r="H54" t="s">
        <v>22</v>
      </c>
      <c r="I54" t="s">
        <v>39</v>
      </c>
      <c r="J54">
        <v>99</v>
      </c>
      <c r="K54">
        <v>1</v>
      </c>
      <c r="L54" t="s">
        <v>24</v>
      </c>
      <c r="M54" t="s">
        <v>25</v>
      </c>
    </row>
    <row r="55" spans="1:13" x14ac:dyDescent="0.3">
      <c r="A55" t="s">
        <v>19</v>
      </c>
      <c r="B55" t="s">
        <v>113</v>
      </c>
      <c r="C55" t="s">
        <v>26</v>
      </c>
      <c r="D55">
        <v>18</v>
      </c>
      <c r="E55" t="s">
        <v>44</v>
      </c>
      <c r="F55" s="5">
        <v>45354</v>
      </c>
      <c r="G55" s="6">
        <v>0.73004629629629625</v>
      </c>
      <c r="H55" t="s">
        <v>22</v>
      </c>
      <c r="I55" t="s">
        <v>39</v>
      </c>
      <c r="J55">
        <v>77</v>
      </c>
      <c r="K55">
        <v>1</v>
      </c>
      <c r="L55" t="s">
        <v>56</v>
      </c>
      <c r="M55" t="s">
        <v>25</v>
      </c>
    </row>
    <row r="56" spans="1:13" x14ac:dyDescent="0.3">
      <c r="A56" t="s">
        <v>19</v>
      </c>
      <c r="B56" t="s">
        <v>114</v>
      </c>
      <c r="C56" t="s">
        <v>20</v>
      </c>
      <c r="D56">
        <v>74</v>
      </c>
      <c r="E56" t="s">
        <v>21</v>
      </c>
      <c r="F56" s="5">
        <v>45362</v>
      </c>
      <c r="G56" s="6">
        <v>0.38616898148148149</v>
      </c>
      <c r="H56" t="s">
        <v>22</v>
      </c>
      <c r="I56" t="s">
        <v>39</v>
      </c>
      <c r="J56">
        <v>37</v>
      </c>
      <c r="K56">
        <v>1</v>
      </c>
      <c r="L56" t="s">
        <v>40</v>
      </c>
      <c r="M56" t="s">
        <v>29</v>
      </c>
    </row>
    <row r="57" spans="1:13" x14ac:dyDescent="0.3">
      <c r="A57" t="s">
        <v>19</v>
      </c>
      <c r="B57" t="s">
        <v>115</v>
      </c>
      <c r="C57" t="s">
        <v>20</v>
      </c>
      <c r="D57">
        <v>71</v>
      </c>
      <c r="E57" t="s">
        <v>44</v>
      </c>
      <c r="F57" s="5">
        <v>45367</v>
      </c>
      <c r="G57" s="6">
        <v>0.83163194444444444</v>
      </c>
      <c r="H57" t="s">
        <v>22</v>
      </c>
      <c r="I57" t="s">
        <v>39</v>
      </c>
      <c r="J57">
        <v>51</v>
      </c>
      <c r="K57">
        <v>1</v>
      </c>
      <c r="L57" t="s">
        <v>40</v>
      </c>
      <c r="M57" t="s">
        <v>25</v>
      </c>
    </row>
    <row r="58" spans="1:13" x14ac:dyDescent="0.3">
      <c r="A58" t="s">
        <v>19</v>
      </c>
      <c r="B58" t="s">
        <v>116</v>
      </c>
      <c r="C58" t="s">
        <v>20</v>
      </c>
      <c r="D58">
        <v>42</v>
      </c>
      <c r="E58" t="s">
        <v>21</v>
      </c>
      <c r="F58" s="5">
        <v>45364</v>
      </c>
      <c r="G58" s="6">
        <v>0.92282407407407407</v>
      </c>
      <c r="H58" t="s">
        <v>22</v>
      </c>
      <c r="I58" t="s">
        <v>39</v>
      </c>
      <c r="J58">
        <v>31</v>
      </c>
      <c r="K58">
        <v>1</v>
      </c>
      <c r="L58" t="s">
        <v>24</v>
      </c>
      <c r="M58" t="s">
        <v>29</v>
      </c>
    </row>
    <row r="59" spans="1:13" x14ac:dyDescent="0.3">
      <c r="A59" t="s">
        <v>19</v>
      </c>
      <c r="B59" t="s">
        <v>117</v>
      </c>
      <c r="C59" t="s">
        <v>20</v>
      </c>
      <c r="D59">
        <v>18</v>
      </c>
      <c r="E59" t="s">
        <v>38</v>
      </c>
      <c r="F59" s="5">
        <v>45377</v>
      </c>
      <c r="G59" s="6">
        <v>0.6696064814814815</v>
      </c>
      <c r="H59" t="s">
        <v>22</v>
      </c>
      <c r="I59" t="s">
        <v>39</v>
      </c>
      <c r="J59">
        <v>75</v>
      </c>
      <c r="K59">
        <v>1</v>
      </c>
      <c r="L59" t="s">
        <v>56</v>
      </c>
      <c r="M59" t="s">
        <v>25</v>
      </c>
    </row>
    <row r="60" spans="1:13" x14ac:dyDescent="0.3">
      <c r="A60" t="s">
        <v>19</v>
      </c>
      <c r="B60" t="s">
        <v>118</v>
      </c>
      <c r="C60" t="s">
        <v>26</v>
      </c>
      <c r="D60">
        <v>54</v>
      </c>
      <c r="E60" t="s">
        <v>48</v>
      </c>
      <c r="F60" s="5">
        <v>45353</v>
      </c>
      <c r="G60" s="6">
        <v>0.90129629629629626</v>
      </c>
      <c r="H60" t="s">
        <v>22</v>
      </c>
      <c r="I60" t="s">
        <v>39</v>
      </c>
      <c r="J60">
        <v>99</v>
      </c>
      <c r="K60">
        <v>1</v>
      </c>
      <c r="L60" t="s">
        <v>28</v>
      </c>
      <c r="M60" t="s">
        <v>25</v>
      </c>
    </row>
    <row r="61" spans="1:13" x14ac:dyDescent="0.3">
      <c r="A61" t="s">
        <v>19</v>
      </c>
      <c r="B61" t="s">
        <v>119</v>
      </c>
      <c r="C61" t="s">
        <v>20</v>
      </c>
      <c r="D61">
        <v>51</v>
      </c>
      <c r="E61" t="s">
        <v>48</v>
      </c>
      <c r="F61" s="5">
        <v>45352</v>
      </c>
      <c r="G61" s="6">
        <v>0.51545138888888886</v>
      </c>
      <c r="H61" t="s">
        <v>34</v>
      </c>
      <c r="I61" t="s">
        <v>39</v>
      </c>
      <c r="J61">
        <v>83</v>
      </c>
      <c r="K61">
        <v>1</v>
      </c>
      <c r="L61" t="s">
        <v>28</v>
      </c>
      <c r="M61" t="s">
        <v>25</v>
      </c>
    </row>
    <row r="62" spans="1:13" x14ac:dyDescent="0.3">
      <c r="A62" t="s">
        <v>19</v>
      </c>
      <c r="B62" t="s">
        <v>120</v>
      </c>
      <c r="C62" t="s">
        <v>26</v>
      </c>
      <c r="D62">
        <v>34</v>
      </c>
      <c r="E62" t="s">
        <v>31</v>
      </c>
      <c r="F62" s="5">
        <v>45365</v>
      </c>
      <c r="G62" s="6">
        <v>0.42138888888888887</v>
      </c>
      <c r="H62" t="s">
        <v>22</v>
      </c>
      <c r="I62" t="s">
        <v>39</v>
      </c>
      <c r="J62">
        <v>59</v>
      </c>
      <c r="K62">
        <v>1</v>
      </c>
      <c r="L62" t="s">
        <v>42</v>
      </c>
      <c r="M62" t="s">
        <v>25</v>
      </c>
    </row>
    <row r="63" spans="1:13" x14ac:dyDescent="0.3">
      <c r="A63" t="s">
        <v>19</v>
      </c>
      <c r="B63" t="s">
        <v>121</v>
      </c>
      <c r="C63" t="s">
        <v>20</v>
      </c>
      <c r="D63">
        <v>29</v>
      </c>
      <c r="E63" t="s">
        <v>31</v>
      </c>
      <c r="F63" s="5">
        <v>45361</v>
      </c>
      <c r="G63" s="6">
        <v>6.0983796296296293E-2</v>
      </c>
      <c r="H63" t="s">
        <v>34</v>
      </c>
      <c r="I63" t="s">
        <v>39</v>
      </c>
      <c r="J63">
        <v>36</v>
      </c>
      <c r="K63">
        <v>1</v>
      </c>
      <c r="L63" t="s">
        <v>57</v>
      </c>
      <c r="M63" t="s">
        <v>29</v>
      </c>
    </row>
    <row r="64" spans="1:13" x14ac:dyDescent="0.3">
      <c r="A64" t="s">
        <v>19</v>
      </c>
      <c r="B64" t="s">
        <v>49</v>
      </c>
      <c r="C64" t="s">
        <v>20</v>
      </c>
      <c r="D64">
        <v>48</v>
      </c>
      <c r="E64" t="s">
        <v>31</v>
      </c>
      <c r="F64" s="5">
        <v>45355</v>
      </c>
      <c r="G64" s="6">
        <v>0.10006944444444445</v>
      </c>
      <c r="H64" t="s">
        <v>34</v>
      </c>
      <c r="I64" t="s">
        <v>39</v>
      </c>
      <c r="J64">
        <v>108</v>
      </c>
      <c r="K64">
        <v>1</v>
      </c>
      <c r="L64" t="s">
        <v>24</v>
      </c>
      <c r="M64"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869C-D753-4C58-ABB5-832F2A1D5D91}">
  <dimension ref="A1:M56"/>
  <sheetViews>
    <sheetView zoomScale="101" zoomScaleNormal="110" workbookViewId="0">
      <selection activeCell="A8" sqref="A8:A9"/>
    </sheetView>
  </sheetViews>
  <sheetFormatPr defaultRowHeight="14.4" x14ac:dyDescent="0.3"/>
  <cols>
    <col min="1" max="1" width="18.109375" customWidth="1"/>
    <col min="2" max="2" width="10.33203125" customWidth="1"/>
    <col min="3" max="3" width="11" customWidth="1"/>
    <col min="4" max="5" width="8.88671875" customWidth="1"/>
    <col min="6" max="6" width="18.6640625" bestFit="1" customWidth="1"/>
    <col min="7" max="7" width="18.44140625" customWidth="1"/>
    <col min="8" max="8" width="7" customWidth="1"/>
    <col min="9" max="9" width="12.5546875" bestFit="1" customWidth="1"/>
    <col min="10" max="10" width="25.21875" bestFit="1" customWidth="1"/>
    <col min="12" max="12" width="15.88671875" bestFit="1" customWidth="1"/>
    <col min="13" max="13" width="32.44140625" bestFit="1" customWidth="1"/>
    <col min="16" max="16" width="15.6640625" bestFit="1" customWidth="1"/>
    <col min="17" max="17" width="25" bestFit="1" customWidth="1"/>
  </cols>
  <sheetData>
    <row r="1" spans="1:13" x14ac:dyDescent="0.3">
      <c r="A1" t="s">
        <v>0</v>
      </c>
      <c r="F1" t="s">
        <v>5</v>
      </c>
    </row>
    <row r="2" spans="1:13" x14ac:dyDescent="0.3">
      <c r="A2" s="17">
        <v>322</v>
      </c>
      <c r="F2" s="1" t="s">
        <v>3</v>
      </c>
      <c r="G2" t="s">
        <v>0</v>
      </c>
      <c r="I2" t="s">
        <v>6</v>
      </c>
    </row>
    <row r="3" spans="1:13" x14ac:dyDescent="0.3">
      <c r="F3" s="3" t="s">
        <v>124</v>
      </c>
      <c r="G3" s="17">
        <v>15</v>
      </c>
      <c r="I3" s="1" t="s">
        <v>3</v>
      </c>
      <c r="J3" t="s">
        <v>1</v>
      </c>
      <c r="L3" t="s">
        <v>50</v>
      </c>
    </row>
    <row r="4" spans="1:13" x14ac:dyDescent="0.3">
      <c r="F4" s="3" t="s">
        <v>125</v>
      </c>
      <c r="G4" s="17">
        <v>14</v>
      </c>
      <c r="I4" s="3" t="s">
        <v>124</v>
      </c>
      <c r="J4" s="2">
        <v>68.599999999999994</v>
      </c>
      <c r="L4" s="1" t="s">
        <v>3</v>
      </c>
      <c r="M4" t="s">
        <v>2</v>
      </c>
    </row>
    <row r="5" spans="1:13" x14ac:dyDescent="0.3">
      <c r="F5" s="3" t="s">
        <v>126</v>
      </c>
      <c r="G5" s="17">
        <v>14</v>
      </c>
      <c r="I5" s="3" t="s">
        <v>125</v>
      </c>
      <c r="J5" s="2">
        <v>60.142857142857146</v>
      </c>
      <c r="L5" s="3" t="s">
        <v>124</v>
      </c>
      <c r="M5" s="2">
        <v>3.3333333333333335</v>
      </c>
    </row>
    <row r="6" spans="1:13" x14ac:dyDescent="0.3">
      <c r="F6" s="3" t="s">
        <v>127</v>
      </c>
      <c r="G6" s="17">
        <v>9</v>
      </c>
      <c r="I6" s="3" t="s">
        <v>126</v>
      </c>
      <c r="J6" s="2">
        <v>67.214285714285708</v>
      </c>
      <c r="L6" s="3" t="s">
        <v>125</v>
      </c>
      <c r="M6" s="2">
        <v>3</v>
      </c>
    </row>
    <row r="7" spans="1:13" x14ac:dyDescent="0.3">
      <c r="F7" s="3" t="s">
        <v>128</v>
      </c>
      <c r="G7" s="17">
        <v>9</v>
      </c>
      <c r="I7" s="3" t="s">
        <v>127</v>
      </c>
      <c r="J7" s="2">
        <v>76.111111111111114</v>
      </c>
      <c r="L7" s="3" t="s">
        <v>126</v>
      </c>
      <c r="M7" s="2">
        <v>3.1428571428571428</v>
      </c>
    </row>
    <row r="8" spans="1:13" x14ac:dyDescent="0.3">
      <c r="A8" t="s">
        <v>1</v>
      </c>
      <c r="F8" s="3" t="s">
        <v>129</v>
      </c>
      <c r="G8" s="17">
        <v>5</v>
      </c>
      <c r="I8" s="3" t="s">
        <v>128</v>
      </c>
      <c r="J8" s="2">
        <v>58.444444444444443</v>
      </c>
      <c r="L8" s="3" t="s">
        <v>127</v>
      </c>
      <c r="M8" s="2">
        <v>3.1111111111111112</v>
      </c>
    </row>
    <row r="9" spans="1:13" x14ac:dyDescent="0.3">
      <c r="A9" s="2">
        <v>62</v>
      </c>
      <c r="F9" s="3" t="s">
        <v>130</v>
      </c>
      <c r="G9" s="17">
        <v>8</v>
      </c>
      <c r="I9" s="3" t="s">
        <v>129</v>
      </c>
      <c r="J9" s="2">
        <v>61.8</v>
      </c>
      <c r="L9" s="3" t="s">
        <v>128</v>
      </c>
      <c r="M9" s="2">
        <v>2.8888888888888888</v>
      </c>
    </row>
    <row r="10" spans="1:13" x14ac:dyDescent="0.3">
      <c r="F10" s="3" t="s">
        <v>131</v>
      </c>
      <c r="G10" s="17">
        <v>16</v>
      </c>
      <c r="I10" s="3" t="s">
        <v>130</v>
      </c>
      <c r="J10" s="2">
        <v>34</v>
      </c>
      <c r="L10" s="3" t="s">
        <v>129</v>
      </c>
      <c r="M10" s="2">
        <v>3</v>
      </c>
    </row>
    <row r="11" spans="1:13" x14ac:dyDescent="0.3">
      <c r="F11" s="3" t="s">
        <v>132</v>
      </c>
      <c r="G11" s="17">
        <v>11</v>
      </c>
      <c r="I11" s="3" t="s">
        <v>131</v>
      </c>
      <c r="J11" s="2">
        <v>67.5625</v>
      </c>
      <c r="L11" s="3" t="s">
        <v>130</v>
      </c>
      <c r="M11" s="2">
        <v>3.5</v>
      </c>
    </row>
    <row r="12" spans="1:13" x14ac:dyDescent="0.3">
      <c r="F12" s="3" t="s">
        <v>133</v>
      </c>
      <c r="G12" s="17">
        <v>12</v>
      </c>
      <c r="I12" s="3" t="s">
        <v>132</v>
      </c>
      <c r="J12" s="2">
        <v>60.090909090909093</v>
      </c>
      <c r="L12" s="3" t="s">
        <v>131</v>
      </c>
      <c r="M12" s="2">
        <v>3.3125</v>
      </c>
    </row>
    <row r="13" spans="1:13" x14ac:dyDescent="0.3">
      <c r="F13" s="3" t="s">
        <v>134</v>
      </c>
      <c r="G13" s="17">
        <v>11</v>
      </c>
      <c r="I13" s="3" t="s">
        <v>133</v>
      </c>
      <c r="J13" s="2">
        <v>56.5</v>
      </c>
      <c r="L13" s="3" t="s">
        <v>132</v>
      </c>
      <c r="M13" s="2">
        <v>2.8181818181818183</v>
      </c>
    </row>
    <row r="14" spans="1:13" x14ac:dyDescent="0.3">
      <c r="A14" t="s">
        <v>2</v>
      </c>
      <c r="F14" s="3" t="s">
        <v>135</v>
      </c>
      <c r="G14" s="17">
        <v>15</v>
      </c>
      <c r="I14" s="3" t="s">
        <v>134</v>
      </c>
      <c r="J14" s="2">
        <v>60.090909090909093</v>
      </c>
      <c r="L14" s="3" t="s">
        <v>133</v>
      </c>
      <c r="M14" s="2">
        <v>3.0833333333333335</v>
      </c>
    </row>
    <row r="15" spans="1:13" x14ac:dyDescent="0.3">
      <c r="A15" s="2">
        <v>3.0093167701863353</v>
      </c>
      <c r="F15" s="3" t="s">
        <v>136</v>
      </c>
      <c r="G15" s="17">
        <v>8</v>
      </c>
      <c r="I15" s="3" t="s">
        <v>135</v>
      </c>
      <c r="J15" s="2">
        <v>49.866666666666667</v>
      </c>
      <c r="L15" s="3" t="s">
        <v>134</v>
      </c>
      <c r="M15" s="2">
        <v>2.3636363636363638</v>
      </c>
    </row>
    <row r="16" spans="1:13" x14ac:dyDescent="0.3">
      <c r="F16" s="3" t="s">
        <v>137</v>
      </c>
      <c r="G16" s="17">
        <v>9</v>
      </c>
      <c r="I16" s="3" t="s">
        <v>136</v>
      </c>
      <c r="J16" s="2">
        <v>76.875</v>
      </c>
      <c r="L16" s="3" t="s">
        <v>135</v>
      </c>
      <c r="M16" s="2">
        <v>3.2666666666666666</v>
      </c>
    </row>
    <row r="17" spans="1:13" x14ac:dyDescent="0.3">
      <c r="F17" s="3" t="s">
        <v>138</v>
      </c>
      <c r="G17" s="17">
        <v>12</v>
      </c>
      <c r="I17" s="3" t="s">
        <v>137</v>
      </c>
      <c r="J17" s="2">
        <v>69.777777777777771</v>
      </c>
      <c r="L17" s="3" t="s">
        <v>136</v>
      </c>
      <c r="M17" s="2">
        <v>2.625</v>
      </c>
    </row>
    <row r="18" spans="1:13" x14ac:dyDescent="0.3">
      <c r="F18" s="3" t="s">
        <v>139</v>
      </c>
      <c r="G18" s="17">
        <v>8</v>
      </c>
      <c r="I18" s="3" t="s">
        <v>138</v>
      </c>
      <c r="J18" s="2">
        <v>63.25</v>
      </c>
      <c r="L18" s="3" t="s">
        <v>137</v>
      </c>
      <c r="M18" s="2">
        <v>3.1111111111111112</v>
      </c>
    </row>
    <row r="19" spans="1:13" x14ac:dyDescent="0.3">
      <c r="F19" s="3" t="s">
        <v>140</v>
      </c>
      <c r="G19" s="17">
        <v>12</v>
      </c>
      <c r="I19" s="3" t="s">
        <v>139</v>
      </c>
      <c r="J19" s="2">
        <v>80.125</v>
      </c>
      <c r="L19" s="3" t="s">
        <v>138</v>
      </c>
      <c r="M19" s="2">
        <v>3.25</v>
      </c>
    </row>
    <row r="20" spans="1:13" x14ac:dyDescent="0.3">
      <c r="F20" s="3" t="s">
        <v>141</v>
      </c>
      <c r="G20" s="17">
        <v>10</v>
      </c>
      <c r="I20" s="3" t="s">
        <v>140</v>
      </c>
      <c r="J20" s="2">
        <v>62.416666666666664</v>
      </c>
      <c r="L20" s="3" t="s">
        <v>139</v>
      </c>
      <c r="M20" s="2">
        <v>2.75</v>
      </c>
    </row>
    <row r="21" spans="1:13" x14ac:dyDescent="0.3">
      <c r="F21" s="3" t="s">
        <v>142</v>
      </c>
      <c r="G21" s="17">
        <v>12</v>
      </c>
      <c r="I21" s="3" t="s">
        <v>141</v>
      </c>
      <c r="J21" s="2">
        <v>72.099999999999994</v>
      </c>
      <c r="L21" s="3" t="s">
        <v>140</v>
      </c>
      <c r="M21" s="2">
        <v>2.6666666666666665</v>
      </c>
    </row>
    <row r="22" spans="1:13" x14ac:dyDescent="0.3">
      <c r="F22" s="3" t="s">
        <v>143</v>
      </c>
      <c r="G22" s="17">
        <v>5</v>
      </c>
      <c r="I22" s="3" t="s">
        <v>142</v>
      </c>
      <c r="J22" s="2">
        <v>59.166666666666664</v>
      </c>
      <c r="L22" s="3" t="s">
        <v>141</v>
      </c>
      <c r="M22" s="2">
        <v>3.4</v>
      </c>
    </row>
    <row r="23" spans="1:13" x14ac:dyDescent="0.3">
      <c r="F23" s="3" t="s">
        <v>144</v>
      </c>
      <c r="G23" s="17">
        <v>9</v>
      </c>
      <c r="I23" s="3" t="s">
        <v>143</v>
      </c>
      <c r="J23" s="2">
        <v>40.799999999999997</v>
      </c>
      <c r="L23" s="3" t="s">
        <v>142</v>
      </c>
      <c r="M23" s="2">
        <v>3.6666666666666665</v>
      </c>
    </row>
    <row r="24" spans="1:13" x14ac:dyDescent="0.3">
      <c r="F24" s="3" t="s">
        <v>145</v>
      </c>
      <c r="G24" s="17">
        <v>12</v>
      </c>
      <c r="I24" s="3" t="s">
        <v>144</v>
      </c>
      <c r="J24" s="2">
        <v>56.777777777777779</v>
      </c>
      <c r="L24" s="3" t="s">
        <v>143</v>
      </c>
      <c r="M24" s="2">
        <v>1.4</v>
      </c>
    </row>
    <row r="25" spans="1:13" x14ac:dyDescent="0.3">
      <c r="A25" t="s">
        <v>60</v>
      </c>
      <c r="F25" s="3" t="s">
        <v>146</v>
      </c>
      <c r="G25" s="17">
        <v>9</v>
      </c>
      <c r="I25" s="3" t="s">
        <v>145</v>
      </c>
      <c r="J25" s="2">
        <v>61.833333333333336</v>
      </c>
      <c r="L25" s="3" t="s">
        <v>144</v>
      </c>
      <c r="M25" s="2">
        <v>2.7777777777777777</v>
      </c>
    </row>
    <row r="26" spans="1:13" x14ac:dyDescent="0.3">
      <c r="A26" s="10" t="e" vm="1">
        <v>#VALUE!</v>
      </c>
      <c r="F26" s="3" t="s">
        <v>147</v>
      </c>
      <c r="G26" s="17">
        <v>7</v>
      </c>
      <c r="I26" s="3" t="s">
        <v>146</v>
      </c>
      <c r="J26" s="2">
        <v>67.444444444444443</v>
      </c>
      <c r="L26" s="3" t="s">
        <v>145</v>
      </c>
      <c r="M26" s="2">
        <v>3.0833333333333335</v>
      </c>
    </row>
    <row r="27" spans="1:13" x14ac:dyDescent="0.3">
      <c r="F27" s="3" t="s">
        <v>148</v>
      </c>
      <c r="G27" s="17">
        <v>14</v>
      </c>
      <c r="I27" s="3" t="s">
        <v>147</v>
      </c>
      <c r="J27" s="2">
        <v>65.857142857142861</v>
      </c>
      <c r="L27" s="3" t="s">
        <v>146</v>
      </c>
      <c r="M27" s="2">
        <v>2.8888888888888888</v>
      </c>
    </row>
    <row r="28" spans="1:13" x14ac:dyDescent="0.3">
      <c r="F28" s="3" t="s">
        <v>149</v>
      </c>
      <c r="G28" s="17">
        <v>15</v>
      </c>
      <c r="I28" s="3" t="s">
        <v>148</v>
      </c>
      <c r="J28" s="2">
        <v>75.214285714285708</v>
      </c>
      <c r="L28" s="3" t="s">
        <v>147</v>
      </c>
      <c r="M28" s="2">
        <v>3.1428571428571428</v>
      </c>
    </row>
    <row r="29" spans="1:13" x14ac:dyDescent="0.3">
      <c r="F29" s="3" t="s">
        <v>150</v>
      </c>
      <c r="G29" s="17">
        <v>4</v>
      </c>
      <c r="I29" s="3" t="s">
        <v>149</v>
      </c>
      <c r="J29" s="2">
        <v>49.133333333333333</v>
      </c>
      <c r="L29" s="3" t="s">
        <v>148</v>
      </c>
      <c r="M29" s="2">
        <v>2.9285714285714284</v>
      </c>
    </row>
    <row r="30" spans="1:13" x14ac:dyDescent="0.3">
      <c r="A30" t="s">
        <v>66</v>
      </c>
      <c r="F30" s="3" t="s">
        <v>151</v>
      </c>
      <c r="G30" s="17">
        <v>10</v>
      </c>
      <c r="I30" s="3" t="s">
        <v>150</v>
      </c>
      <c r="J30" s="2">
        <v>90.5</v>
      </c>
      <c r="L30" s="3" t="s">
        <v>149</v>
      </c>
      <c r="M30" s="2">
        <v>3.2</v>
      </c>
    </row>
    <row r="31" spans="1:13" x14ac:dyDescent="0.3">
      <c r="A31" s="1" t="s">
        <v>3</v>
      </c>
      <c r="B31" t="s">
        <v>64</v>
      </c>
      <c r="F31" s="3" t="s">
        <v>152</v>
      </c>
      <c r="G31" s="17">
        <v>5</v>
      </c>
      <c r="I31" s="3" t="s">
        <v>151</v>
      </c>
      <c r="J31" s="2">
        <v>58.5</v>
      </c>
      <c r="L31" s="3" t="s">
        <v>150</v>
      </c>
      <c r="M31" s="2">
        <v>3</v>
      </c>
    </row>
    <row r="32" spans="1:13" x14ac:dyDescent="0.3">
      <c r="A32" s="3" t="s">
        <v>20</v>
      </c>
      <c r="B32" s="2">
        <v>159</v>
      </c>
      <c r="F32" s="3" t="s">
        <v>153</v>
      </c>
      <c r="G32" s="17">
        <v>11</v>
      </c>
      <c r="I32" s="3" t="s">
        <v>152</v>
      </c>
      <c r="J32" s="2">
        <v>77.8</v>
      </c>
      <c r="L32" s="3" t="s">
        <v>151</v>
      </c>
      <c r="M32" s="2">
        <v>3.6</v>
      </c>
    </row>
    <row r="33" spans="1:13" x14ac:dyDescent="0.3">
      <c r="A33" s="3" t="s">
        <v>26</v>
      </c>
      <c r="B33" s="2">
        <v>163</v>
      </c>
      <c r="F33" s="3" t="s">
        <v>154</v>
      </c>
      <c r="G33" s="17">
        <v>11</v>
      </c>
      <c r="I33" s="3" t="s">
        <v>153</v>
      </c>
      <c r="J33" s="2">
        <v>49.727272727272727</v>
      </c>
      <c r="L33" s="3" t="s">
        <v>152</v>
      </c>
      <c r="M33" s="2">
        <v>3</v>
      </c>
    </row>
    <row r="34" spans="1:13" x14ac:dyDescent="0.3">
      <c r="A34" s="3" t="s">
        <v>4</v>
      </c>
      <c r="B34" s="2">
        <v>322</v>
      </c>
      <c r="F34" s="3" t="s">
        <v>4</v>
      </c>
      <c r="G34" s="17">
        <v>322</v>
      </c>
      <c r="I34" s="3" t="s">
        <v>154</v>
      </c>
      <c r="J34" s="2">
        <v>46.363636363636367</v>
      </c>
      <c r="L34" s="3" t="s">
        <v>153</v>
      </c>
      <c r="M34" s="2">
        <v>2.2727272727272729</v>
      </c>
    </row>
    <row r="35" spans="1:13" x14ac:dyDescent="0.3">
      <c r="I35" s="3" t="s">
        <v>4</v>
      </c>
      <c r="J35" s="17">
        <v>62</v>
      </c>
      <c r="L35" s="3" t="s">
        <v>154</v>
      </c>
      <c r="M35" s="2">
        <v>2.3636363636363638</v>
      </c>
    </row>
    <row r="36" spans="1:13" x14ac:dyDescent="0.3">
      <c r="L36" s="3" t="s">
        <v>4</v>
      </c>
      <c r="M36" s="2">
        <v>3.0093167701863353</v>
      </c>
    </row>
    <row r="39" spans="1:13" x14ac:dyDescent="0.3">
      <c r="F39" t="s">
        <v>59</v>
      </c>
      <c r="I39" t="s">
        <v>63</v>
      </c>
    </row>
    <row r="40" spans="1:13" x14ac:dyDescent="0.3">
      <c r="A40" s="1" t="s">
        <v>3</v>
      </c>
      <c r="B40" t="s">
        <v>51</v>
      </c>
      <c r="C40" t="s">
        <v>52</v>
      </c>
      <c r="F40" s="1" t="s">
        <v>3</v>
      </c>
      <c r="G40" t="s">
        <v>58</v>
      </c>
      <c r="I40" s="1" t="s">
        <v>3</v>
      </c>
      <c r="J40" t="s">
        <v>62</v>
      </c>
    </row>
    <row r="41" spans="1:13" x14ac:dyDescent="0.3">
      <c r="A41" s="3" t="s">
        <v>34</v>
      </c>
      <c r="B41" s="2">
        <v>160</v>
      </c>
      <c r="C41" s="8">
        <v>0.49689440993788819</v>
      </c>
      <c r="F41" s="3" t="s">
        <v>56</v>
      </c>
      <c r="G41" s="9">
        <v>12</v>
      </c>
      <c r="I41" s="3" t="s">
        <v>25</v>
      </c>
      <c r="J41" s="2">
        <v>225</v>
      </c>
    </row>
    <row r="42" spans="1:13" x14ac:dyDescent="0.3">
      <c r="A42" s="3" t="s">
        <v>22</v>
      </c>
      <c r="B42" s="2">
        <v>162</v>
      </c>
      <c r="C42" s="8">
        <v>0.50310559006211175</v>
      </c>
      <c r="F42" s="3" t="s">
        <v>57</v>
      </c>
      <c r="G42" s="9">
        <v>50</v>
      </c>
      <c r="I42" s="3" t="s">
        <v>29</v>
      </c>
      <c r="J42" s="2">
        <v>97</v>
      </c>
    </row>
    <row r="43" spans="1:13" x14ac:dyDescent="0.3">
      <c r="A43" s="3" t="s">
        <v>4</v>
      </c>
      <c r="B43" s="2">
        <v>322</v>
      </c>
      <c r="C43" s="8">
        <v>1</v>
      </c>
      <c r="F43" s="3" t="s">
        <v>42</v>
      </c>
      <c r="G43" s="9">
        <v>49</v>
      </c>
      <c r="I43" s="3" t="s">
        <v>4</v>
      </c>
      <c r="J43" s="2">
        <v>322</v>
      </c>
    </row>
    <row r="44" spans="1:13" x14ac:dyDescent="0.3">
      <c r="F44" s="3" t="s">
        <v>24</v>
      </c>
      <c r="G44" s="9">
        <v>42</v>
      </c>
    </row>
    <row r="45" spans="1:13" x14ac:dyDescent="0.3">
      <c r="F45" s="3" t="s">
        <v>28</v>
      </c>
      <c r="G45" s="9">
        <v>54</v>
      </c>
    </row>
    <row r="46" spans="1:13" x14ac:dyDescent="0.3">
      <c r="F46" s="3" t="s">
        <v>36</v>
      </c>
      <c r="G46" s="9">
        <v>58</v>
      </c>
    </row>
    <row r="47" spans="1:13" x14ac:dyDescent="0.3">
      <c r="F47" s="3" t="s">
        <v>40</v>
      </c>
      <c r="G47" s="9">
        <v>57</v>
      </c>
      <c r="I47" t="s">
        <v>67</v>
      </c>
    </row>
    <row r="48" spans="1:13" x14ac:dyDescent="0.3">
      <c r="A48" s="11" t="s">
        <v>53</v>
      </c>
      <c r="B48" s="11" t="s">
        <v>54</v>
      </c>
      <c r="C48" s="11" t="s">
        <v>55</v>
      </c>
      <c r="D48" s="12" t="s">
        <v>65</v>
      </c>
      <c r="F48" s="3" t="s">
        <v>4</v>
      </c>
      <c r="G48" s="2">
        <v>322</v>
      </c>
      <c r="I48" s="1" t="s">
        <v>3</v>
      </c>
      <c r="J48" t="s">
        <v>61</v>
      </c>
    </row>
    <row r="49" spans="1:10" x14ac:dyDescent="0.3">
      <c r="A49" s="11" t="str">
        <f>A42</f>
        <v>Not Admitted</v>
      </c>
      <c r="B49" s="11">
        <f>B42</f>
        <v>162</v>
      </c>
      <c r="C49" s="13">
        <f>C42</f>
        <v>0.50310559006211175</v>
      </c>
      <c r="D49" s="12"/>
      <c r="I49" s="3" t="s">
        <v>35</v>
      </c>
      <c r="J49" s="9">
        <v>54</v>
      </c>
    </row>
    <row r="50" spans="1:10" x14ac:dyDescent="0.3">
      <c r="A50" s="11" t="str">
        <f>A41</f>
        <v>Admitted</v>
      </c>
      <c r="B50" s="11">
        <f>B41</f>
        <v>160</v>
      </c>
      <c r="C50" s="13">
        <f>C41</f>
        <v>0.49689440993788819</v>
      </c>
      <c r="D50" s="12"/>
      <c r="I50" s="3" t="s">
        <v>45</v>
      </c>
      <c r="J50" s="9">
        <v>51</v>
      </c>
    </row>
    <row r="51" spans="1:10" x14ac:dyDescent="0.3">
      <c r="I51" s="3" t="s">
        <v>47</v>
      </c>
      <c r="J51" s="9">
        <v>47</v>
      </c>
    </row>
    <row r="52" spans="1:10" x14ac:dyDescent="0.3">
      <c r="I52" s="3" t="s">
        <v>39</v>
      </c>
      <c r="J52" s="9">
        <v>47</v>
      </c>
    </row>
    <row r="53" spans="1:10" x14ac:dyDescent="0.3">
      <c r="I53" s="3" t="s">
        <v>32</v>
      </c>
      <c r="J53" s="9">
        <v>45</v>
      </c>
    </row>
    <row r="54" spans="1:10" x14ac:dyDescent="0.3">
      <c r="I54" s="3" t="s">
        <v>23</v>
      </c>
      <c r="J54" s="9">
        <v>43</v>
      </c>
    </row>
    <row r="55" spans="1:10" x14ac:dyDescent="0.3">
      <c r="I55" s="3" t="s">
        <v>27</v>
      </c>
      <c r="J55" s="9">
        <v>35</v>
      </c>
    </row>
    <row r="56" spans="1:10" x14ac:dyDescent="0.3">
      <c r="I56" s="3" t="s">
        <v>4</v>
      </c>
      <c r="J56" s="2">
        <v>322</v>
      </c>
    </row>
  </sheetData>
  <phoneticPr fontId="2" type="noConversion"/>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C12B0-704E-4914-8ED2-C9D3B3F95547}">
  <dimension ref="A1:S29"/>
  <sheetViews>
    <sheetView tabSelected="1" zoomScale="88" zoomScaleNormal="88" workbookViewId="0"/>
  </sheetViews>
  <sheetFormatPr defaultRowHeight="14.4" x14ac:dyDescent="0.3"/>
  <cols>
    <col min="1" max="16384" width="8.88671875" style="14"/>
  </cols>
  <sheetData>
    <row r="1" spans="1:19" x14ac:dyDescent="0.3">
      <c r="A1" s="16"/>
      <c r="B1" s="16"/>
      <c r="C1" s="16"/>
      <c r="D1" s="16"/>
      <c r="E1" s="16"/>
      <c r="F1" s="16"/>
      <c r="G1" s="16"/>
      <c r="H1" s="16"/>
      <c r="I1" s="16"/>
      <c r="J1" s="16"/>
      <c r="K1" s="16"/>
      <c r="L1" s="16"/>
      <c r="M1" s="16"/>
      <c r="N1" s="16"/>
      <c r="O1" s="16"/>
      <c r="P1" s="16"/>
      <c r="Q1" s="16"/>
      <c r="R1" s="16"/>
    </row>
    <row r="2" spans="1:19" x14ac:dyDescent="0.3">
      <c r="A2" s="16"/>
      <c r="B2" s="16"/>
      <c r="C2" s="16"/>
      <c r="D2" s="16"/>
      <c r="E2" s="16"/>
      <c r="F2" s="16"/>
      <c r="G2" s="16"/>
      <c r="H2" s="16"/>
      <c r="I2" s="16"/>
      <c r="J2" s="16"/>
      <c r="K2" s="16"/>
      <c r="L2" s="16"/>
      <c r="M2" s="16"/>
      <c r="N2" s="16"/>
      <c r="O2" s="16"/>
      <c r="P2" s="16"/>
      <c r="Q2" s="16"/>
      <c r="R2" s="16"/>
    </row>
    <row r="3" spans="1:19" x14ac:dyDescent="0.3">
      <c r="A3" s="16"/>
      <c r="B3" s="16"/>
      <c r="C3" s="16"/>
      <c r="D3" s="16"/>
      <c r="E3" s="16"/>
      <c r="F3" s="16"/>
      <c r="G3" s="16"/>
      <c r="H3" s="16"/>
      <c r="I3" s="16"/>
      <c r="J3" s="16"/>
      <c r="K3" s="16"/>
      <c r="L3" s="16"/>
      <c r="M3" s="16"/>
      <c r="N3" s="16"/>
      <c r="O3" s="16"/>
      <c r="P3" s="16"/>
      <c r="Q3" s="16"/>
      <c r="R3" s="16"/>
    </row>
    <row r="4" spans="1:19" x14ac:dyDescent="0.3">
      <c r="A4" s="16"/>
      <c r="B4" s="16"/>
      <c r="C4" s="16"/>
      <c r="D4" s="16"/>
      <c r="E4" s="16"/>
      <c r="F4" s="16"/>
      <c r="G4" s="16"/>
      <c r="H4" s="16"/>
      <c r="I4" s="16"/>
      <c r="J4" s="16"/>
      <c r="K4" s="16"/>
      <c r="L4" s="16"/>
      <c r="M4" s="16"/>
      <c r="N4" s="16"/>
      <c r="O4" s="16"/>
      <c r="P4" s="16"/>
      <c r="Q4" s="16"/>
      <c r="R4" s="16"/>
    </row>
    <row r="5" spans="1:19" x14ac:dyDescent="0.3">
      <c r="A5" s="16"/>
      <c r="B5" s="16"/>
      <c r="C5" s="16"/>
      <c r="D5" s="16"/>
      <c r="E5" s="16"/>
      <c r="F5" s="16"/>
      <c r="G5" s="16"/>
      <c r="H5" s="16"/>
      <c r="I5" s="16"/>
      <c r="J5" s="16"/>
      <c r="K5" s="16"/>
      <c r="L5" s="16"/>
      <c r="M5" s="16"/>
      <c r="N5" s="16"/>
      <c r="O5" s="16"/>
      <c r="P5" s="16"/>
      <c r="Q5" s="16"/>
      <c r="R5" s="16"/>
    </row>
    <row r="6" spans="1:19" x14ac:dyDescent="0.3">
      <c r="A6" s="16"/>
      <c r="B6" s="16"/>
      <c r="C6" s="16"/>
      <c r="D6" s="16"/>
      <c r="E6" s="16"/>
      <c r="F6" s="16"/>
      <c r="G6" s="16"/>
      <c r="H6" s="16"/>
      <c r="I6" s="16"/>
      <c r="J6" s="16"/>
      <c r="K6" s="16"/>
      <c r="L6" s="16"/>
      <c r="M6" s="16"/>
      <c r="N6" s="16"/>
      <c r="O6" s="16"/>
      <c r="P6" s="16"/>
      <c r="Q6" s="16"/>
      <c r="R6" s="16"/>
    </row>
    <row r="7" spans="1:19" x14ac:dyDescent="0.3">
      <c r="A7" s="16"/>
      <c r="B7" s="16"/>
      <c r="C7" s="16"/>
      <c r="D7" s="16"/>
      <c r="E7" s="16"/>
      <c r="F7" s="16"/>
      <c r="G7" s="16"/>
      <c r="H7" s="16"/>
      <c r="I7" s="16"/>
      <c r="J7" s="16"/>
      <c r="K7" s="16"/>
      <c r="L7" s="16"/>
      <c r="M7" s="16"/>
      <c r="N7" s="16"/>
      <c r="O7" s="16"/>
      <c r="P7" s="16"/>
      <c r="Q7" s="16"/>
      <c r="R7" s="16"/>
    </row>
    <row r="8" spans="1:19" x14ac:dyDescent="0.3">
      <c r="A8" s="16"/>
      <c r="B8" s="16"/>
      <c r="C8" s="16"/>
      <c r="D8" s="16"/>
      <c r="E8" s="16"/>
      <c r="F8" s="16"/>
      <c r="G8" s="16"/>
      <c r="H8" s="16"/>
      <c r="I8" s="16"/>
      <c r="J8" s="16"/>
      <c r="K8" s="16"/>
      <c r="L8" s="16"/>
      <c r="M8" s="16"/>
      <c r="N8" s="16"/>
      <c r="O8" s="16"/>
      <c r="P8" s="16"/>
      <c r="Q8" s="16"/>
      <c r="R8" s="16"/>
    </row>
    <row r="9" spans="1:19" x14ac:dyDescent="0.3">
      <c r="A9" s="16"/>
      <c r="B9" s="16"/>
      <c r="C9" s="16"/>
      <c r="D9" s="16"/>
      <c r="E9" s="16"/>
      <c r="F9" s="16"/>
      <c r="G9" s="16"/>
      <c r="H9" s="16"/>
      <c r="I9" s="16"/>
      <c r="J9" s="16"/>
      <c r="K9" s="16"/>
      <c r="L9" s="16"/>
      <c r="M9" s="16"/>
      <c r="N9" s="16"/>
      <c r="O9" s="16"/>
      <c r="P9" s="16"/>
      <c r="Q9" s="16"/>
      <c r="R9" s="16"/>
      <c r="S9" s="15"/>
    </row>
    <row r="10" spans="1:19" x14ac:dyDescent="0.3">
      <c r="A10" s="16"/>
      <c r="B10" s="16"/>
      <c r="C10" s="16"/>
      <c r="D10" s="16"/>
      <c r="E10" s="16"/>
      <c r="F10" s="16"/>
      <c r="G10" s="16"/>
      <c r="H10" s="16"/>
      <c r="I10" s="16"/>
      <c r="J10" s="16"/>
      <c r="K10" s="16"/>
      <c r="L10" s="16"/>
      <c r="M10" s="16"/>
      <c r="N10" s="16"/>
      <c r="O10" s="16"/>
      <c r="P10" s="16"/>
      <c r="Q10" s="16"/>
      <c r="R10" s="16"/>
    </row>
    <row r="11" spans="1:19" x14ac:dyDescent="0.3">
      <c r="A11" s="16"/>
      <c r="B11" s="16"/>
      <c r="C11" s="16"/>
      <c r="D11" s="16"/>
      <c r="E11" s="16"/>
      <c r="F11" s="16"/>
      <c r="G11" s="16"/>
      <c r="H11" s="16"/>
      <c r="I11" s="16"/>
      <c r="J11" s="16"/>
      <c r="K11" s="16"/>
      <c r="L11" s="16"/>
      <c r="M11" s="16"/>
      <c r="N11" s="16"/>
      <c r="O11" s="16"/>
      <c r="P11" s="16"/>
      <c r="Q11" s="16"/>
      <c r="R11" s="16"/>
    </row>
    <row r="12" spans="1:19" x14ac:dyDescent="0.3">
      <c r="A12" s="16"/>
      <c r="B12" s="16"/>
      <c r="C12" s="16"/>
      <c r="D12" s="16"/>
      <c r="E12" s="16"/>
      <c r="F12" s="16"/>
      <c r="G12" s="16"/>
      <c r="H12" s="16"/>
      <c r="I12" s="16"/>
      <c r="J12" s="16"/>
      <c r="K12" s="16"/>
      <c r="L12" s="16"/>
      <c r="M12" s="16"/>
      <c r="N12" s="16"/>
      <c r="O12" s="16"/>
      <c r="P12" s="16"/>
      <c r="Q12" s="16"/>
      <c r="R12" s="16"/>
    </row>
    <row r="13" spans="1:19" x14ac:dyDescent="0.3">
      <c r="A13" s="16"/>
      <c r="B13" s="16"/>
      <c r="C13" s="16"/>
      <c r="D13" s="16"/>
      <c r="E13" s="16"/>
      <c r="F13" s="16"/>
      <c r="G13" s="16"/>
      <c r="H13" s="16"/>
      <c r="I13" s="16"/>
      <c r="J13" s="16"/>
      <c r="K13" s="16"/>
      <c r="L13" s="16"/>
      <c r="M13" s="16"/>
      <c r="N13" s="16"/>
      <c r="O13" s="16"/>
      <c r="P13" s="16"/>
      <c r="Q13" s="16"/>
      <c r="R13" s="16"/>
    </row>
    <row r="14" spans="1:19" x14ac:dyDescent="0.3">
      <c r="A14" s="16"/>
      <c r="B14" s="16"/>
      <c r="C14" s="16"/>
      <c r="D14" s="16"/>
      <c r="E14" s="16"/>
      <c r="F14" s="16"/>
      <c r="G14" s="16"/>
      <c r="H14" s="16"/>
      <c r="I14" s="16"/>
      <c r="J14" s="16"/>
      <c r="K14" s="16"/>
      <c r="L14" s="16"/>
      <c r="M14" s="16"/>
      <c r="N14" s="16"/>
      <c r="O14" s="16"/>
      <c r="P14" s="16"/>
      <c r="Q14" s="16"/>
      <c r="R14" s="16"/>
    </row>
    <row r="15" spans="1:19" x14ac:dyDescent="0.3">
      <c r="A15" s="16"/>
      <c r="B15" s="16"/>
      <c r="C15" s="16"/>
      <c r="D15" s="16"/>
      <c r="E15" s="16"/>
      <c r="F15" s="16"/>
      <c r="G15" s="16"/>
      <c r="H15" s="16"/>
      <c r="I15" s="16"/>
      <c r="J15" s="16"/>
      <c r="K15" s="16"/>
      <c r="L15" s="16"/>
      <c r="M15" s="16"/>
      <c r="N15" s="16"/>
      <c r="O15" s="16"/>
      <c r="P15" s="16"/>
      <c r="Q15" s="16"/>
      <c r="R15" s="16"/>
    </row>
    <row r="16" spans="1:19" x14ac:dyDescent="0.3">
      <c r="A16" s="16"/>
      <c r="B16" s="16"/>
      <c r="C16" s="16"/>
      <c r="D16" s="16"/>
      <c r="E16" s="16"/>
      <c r="F16" s="16"/>
      <c r="G16" s="16"/>
      <c r="H16" s="16"/>
      <c r="I16" s="16"/>
      <c r="J16" s="16"/>
      <c r="K16" s="16"/>
      <c r="L16" s="16"/>
      <c r="M16" s="16"/>
      <c r="N16" s="16"/>
      <c r="O16" s="16"/>
      <c r="P16" s="16"/>
      <c r="Q16" s="16"/>
      <c r="R16" s="16"/>
    </row>
    <row r="17" spans="1:18" x14ac:dyDescent="0.3">
      <c r="A17" s="16"/>
      <c r="B17" s="16"/>
      <c r="C17" s="16"/>
      <c r="D17" s="16"/>
      <c r="E17" s="16"/>
      <c r="F17" s="16"/>
      <c r="G17" s="16"/>
      <c r="H17" s="16"/>
      <c r="I17" s="16"/>
      <c r="J17" s="16"/>
      <c r="K17" s="16"/>
      <c r="L17" s="16"/>
      <c r="M17" s="16"/>
      <c r="N17" s="16"/>
      <c r="O17" s="16"/>
      <c r="P17" s="16"/>
      <c r="Q17" s="16"/>
      <c r="R17" s="16"/>
    </row>
    <row r="18" spans="1:18" x14ac:dyDescent="0.3">
      <c r="A18" s="16"/>
      <c r="B18" s="16"/>
      <c r="C18" s="16"/>
      <c r="D18" s="16"/>
      <c r="E18" s="16"/>
      <c r="F18" s="16"/>
      <c r="G18" s="16"/>
      <c r="H18" s="16"/>
      <c r="I18" s="16"/>
      <c r="J18" s="16"/>
      <c r="K18" s="16"/>
      <c r="L18" s="16"/>
      <c r="M18" s="16"/>
      <c r="N18" s="16"/>
      <c r="O18" s="16"/>
      <c r="P18" s="16"/>
      <c r="Q18" s="16"/>
      <c r="R18" s="16"/>
    </row>
    <row r="19" spans="1:18" x14ac:dyDescent="0.3">
      <c r="A19" s="16"/>
      <c r="B19" s="16"/>
      <c r="C19" s="16"/>
      <c r="D19" s="16"/>
      <c r="E19" s="16"/>
      <c r="F19" s="16"/>
      <c r="G19" s="16"/>
      <c r="H19" s="16"/>
      <c r="I19" s="16"/>
      <c r="J19" s="16"/>
      <c r="K19" s="16"/>
      <c r="L19" s="16"/>
      <c r="M19" s="16"/>
      <c r="N19" s="16"/>
      <c r="O19" s="16"/>
      <c r="P19" s="16"/>
      <c r="Q19" s="16"/>
      <c r="R19" s="16"/>
    </row>
    <row r="20" spans="1:18" x14ac:dyDescent="0.3">
      <c r="A20" s="16"/>
      <c r="B20" s="16"/>
      <c r="C20" s="16"/>
      <c r="D20" s="16"/>
      <c r="E20" s="16"/>
      <c r="F20" s="16"/>
      <c r="G20" s="16"/>
      <c r="H20" s="16"/>
      <c r="I20" s="16"/>
      <c r="J20" s="16"/>
      <c r="K20" s="16"/>
      <c r="L20" s="16"/>
      <c r="M20" s="16"/>
      <c r="N20" s="16"/>
      <c r="O20" s="16"/>
      <c r="P20" s="16"/>
      <c r="Q20" s="16"/>
      <c r="R20" s="16"/>
    </row>
    <row r="21" spans="1:18" x14ac:dyDescent="0.3">
      <c r="A21" s="16"/>
      <c r="B21" s="16"/>
      <c r="C21" s="16"/>
      <c r="D21" s="16"/>
      <c r="E21" s="16"/>
      <c r="F21" s="16"/>
      <c r="G21" s="16"/>
      <c r="H21" s="16"/>
      <c r="I21" s="16"/>
      <c r="J21" s="16"/>
      <c r="K21" s="16"/>
      <c r="L21" s="16"/>
      <c r="M21" s="16"/>
      <c r="N21" s="16"/>
      <c r="O21" s="16"/>
      <c r="P21" s="16"/>
      <c r="Q21" s="16"/>
      <c r="R21" s="16"/>
    </row>
    <row r="22" spans="1:18" x14ac:dyDescent="0.3">
      <c r="A22" s="16"/>
      <c r="B22" s="16"/>
      <c r="C22" s="16"/>
      <c r="D22" s="16"/>
      <c r="E22" s="16"/>
      <c r="F22" s="16"/>
      <c r="G22" s="16"/>
      <c r="H22" s="16"/>
      <c r="I22" s="16"/>
      <c r="J22" s="16"/>
      <c r="K22" s="16"/>
      <c r="L22" s="16"/>
      <c r="M22" s="16"/>
      <c r="N22" s="16"/>
      <c r="O22" s="16"/>
      <c r="P22" s="16"/>
      <c r="Q22" s="16"/>
      <c r="R22" s="16"/>
    </row>
    <row r="23" spans="1:18" x14ac:dyDescent="0.3">
      <c r="A23" s="16"/>
      <c r="B23" s="16"/>
      <c r="C23" s="16"/>
      <c r="D23" s="16"/>
      <c r="E23" s="16"/>
      <c r="F23" s="16"/>
      <c r="G23" s="16"/>
      <c r="H23" s="16"/>
      <c r="I23" s="16"/>
      <c r="J23" s="16"/>
      <c r="K23" s="16"/>
      <c r="L23" s="16"/>
      <c r="M23" s="16"/>
      <c r="N23" s="16"/>
      <c r="O23" s="16"/>
      <c r="P23" s="16"/>
      <c r="Q23" s="16"/>
      <c r="R23" s="16"/>
    </row>
    <row r="24" spans="1:18" x14ac:dyDescent="0.3">
      <c r="A24" s="16"/>
      <c r="B24" s="16"/>
      <c r="C24" s="16"/>
      <c r="D24" s="16"/>
      <c r="E24" s="16"/>
      <c r="F24" s="16"/>
      <c r="G24" s="16"/>
      <c r="H24" s="16"/>
      <c r="I24" s="16"/>
      <c r="J24" s="16"/>
      <c r="K24" s="16"/>
      <c r="L24" s="16"/>
      <c r="M24" s="16"/>
      <c r="N24" s="16"/>
      <c r="O24" s="16"/>
      <c r="P24" s="16"/>
      <c r="Q24" s="16"/>
      <c r="R24" s="16"/>
    </row>
    <row r="25" spans="1:18" x14ac:dyDescent="0.3">
      <c r="A25" s="16"/>
      <c r="B25" s="16"/>
      <c r="C25" s="16"/>
      <c r="D25" s="16"/>
      <c r="E25" s="16"/>
      <c r="F25" s="16"/>
      <c r="G25" s="16"/>
      <c r="H25" s="16"/>
      <c r="I25" s="16"/>
      <c r="J25" s="16"/>
      <c r="K25" s="16"/>
      <c r="L25" s="16"/>
      <c r="M25" s="16"/>
      <c r="N25" s="16"/>
      <c r="O25" s="16"/>
      <c r="P25" s="16"/>
      <c r="Q25" s="16"/>
      <c r="R25" s="16"/>
    </row>
    <row r="26" spans="1:18" x14ac:dyDescent="0.3">
      <c r="A26" s="16"/>
      <c r="B26" s="16"/>
      <c r="C26" s="16"/>
      <c r="D26" s="16"/>
      <c r="E26" s="16"/>
      <c r="F26" s="16"/>
      <c r="G26" s="16"/>
      <c r="H26" s="16"/>
      <c r="I26" s="16"/>
      <c r="J26" s="16"/>
      <c r="K26" s="16"/>
      <c r="L26" s="16"/>
      <c r="M26" s="16"/>
      <c r="N26" s="16"/>
      <c r="O26" s="16"/>
      <c r="P26" s="16"/>
      <c r="Q26" s="16"/>
      <c r="R26" s="16"/>
    </row>
    <row r="27" spans="1:18" x14ac:dyDescent="0.3">
      <c r="A27" s="16"/>
      <c r="B27" s="16"/>
      <c r="C27" s="16"/>
      <c r="D27" s="16"/>
      <c r="E27" s="16"/>
      <c r="F27" s="16"/>
      <c r="G27" s="16"/>
      <c r="H27" s="16"/>
      <c r="I27" s="16"/>
      <c r="J27" s="16"/>
      <c r="K27" s="16"/>
      <c r="L27" s="16"/>
      <c r="M27" s="16"/>
      <c r="N27" s="16"/>
      <c r="O27" s="16"/>
      <c r="P27" s="16"/>
      <c r="Q27" s="16"/>
      <c r="R27" s="16"/>
    </row>
    <row r="28" spans="1:18" x14ac:dyDescent="0.3">
      <c r="A28" s="16"/>
      <c r="B28" s="16"/>
      <c r="C28" s="16"/>
      <c r="D28" s="16"/>
      <c r="E28" s="16"/>
      <c r="F28" s="16"/>
      <c r="G28" s="16"/>
      <c r="H28" s="16"/>
      <c r="I28" s="16"/>
      <c r="J28" s="16"/>
      <c r="K28" s="16"/>
      <c r="L28" s="16"/>
      <c r="M28" s="16"/>
      <c r="N28" s="16"/>
      <c r="O28" s="16"/>
      <c r="P28" s="16"/>
      <c r="Q28" s="16"/>
      <c r="R28" s="16"/>
    </row>
    <row r="29" spans="1:18" x14ac:dyDescent="0.3">
      <c r="A29" s="16"/>
      <c r="B29" s="16"/>
      <c r="C29" s="16"/>
      <c r="D29" s="16"/>
      <c r="E29" s="16"/>
      <c r="F29" s="16"/>
      <c r="G29" s="16"/>
      <c r="H29" s="16"/>
      <c r="I29" s="16"/>
      <c r="J29" s="16"/>
      <c r="K29" s="16"/>
      <c r="L29" s="16"/>
      <c r="M29" s="16"/>
      <c r="N29" s="16"/>
      <c r="O29" s="16"/>
      <c r="P29" s="16"/>
      <c r="Q29" s="16"/>
      <c r="R29" s="1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5014-FE91-4F4F-AAA0-07E1400B1BE2}">
  <dimension ref="A1:N26"/>
  <sheetViews>
    <sheetView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FB94-289B-4AB1-BEEF-ADEFC1E16207}">
  <dimension ref="A1:O26"/>
  <sheetViews>
    <sheetView workbookViewId="0"/>
  </sheetViews>
  <sheetFormatPr defaultRowHeight="14.4" x14ac:dyDescent="0.3"/>
  <sheetData>
    <row r="1" spans="1:15" x14ac:dyDescent="0.3">
      <c r="A1" s="4"/>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c r="B3" s="4"/>
      <c r="C3" s="4"/>
      <c r="D3" s="4"/>
      <c r="E3" s="4"/>
      <c r="F3" s="4"/>
      <c r="G3" s="4"/>
      <c r="H3" s="4"/>
      <c r="I3" s="4"/>
      <c r="J3" s="4"/>
      <c r="K3" s="4"/>
      <c r="L3" s="4"/>
      <c r="M3" s="4"/>
      <c r="N3" s="4"/>
      <c r="O3" s="4"/>
    </row>
    <row r="4" spans="1:15" x14ac:dyDescent="0.3">
      <c r="A4" s="4"/>
      <c r="B4" s="4"/>
      <c r="C4" s="4"/>
      <c r="D4" s="4"/>
      <c r="E4" s="4"/>
      <c r="F4" s="4"/>
      <c r="G4" s="4"/>
      <c r="H4" s="4"/>
      <c r="I4" s="4"/>
      <c r="J4" s="4"/>
      <c r="K4" s="4"/>
      <c r="L4" s="4"/>
      <c r="M4" s="4"/>
      <c r="N4" s="4"/>
      <c r="O4" s="4"/>
    </row>
    <row r="5" spans="1:15" x14ac:dyDescent="0.3">
      <c r="A5" s="4"/>
      <c r="B5" s="4"/>
      <c r="C5" s="4"/>
      <c r="D5" s="4"/>
      <c r="E5" s="4"/>
      <c r="F5" s="4"/>
      <c r="G5" s="4"/>
      <c r="H5" s="4"/>
      <c r="I5" s="4"/>
      <c r="J5" s="4"/>
      <c r="K5" s="4"/>
      <c r="L5" s="4"/>
      <c r="M5" s="4"/>
      <c r="N5" s="4"/>
      <c r="O5" s="4"/>
    </row>
    <row r="6" spans="1:15" x14ac:dyDescent="0.3">
      <c r="A6" s="4"/>
      <c r="B6" s="4"/>
      <c r="C6" s="4"/>
      <c r="D6" s="4"/>
      <c r="E6" s="4"/>
      <c r="F6" s="4"/>
      <c r="G6" s="4"/>
      <c r="H6" s="4"/>
      <c r="I6" s="4"/>
      <c r="J6" s="4"/>
      <c r="K6" s="4"/>
      <c r="L6" s="4"/>
      <c r="M6" s="4"/>
      <c r="N6" s="4"/>
      <c r="O6" s="4"/>
    </row>
    <row r="7" spans="1:15" x14ac:dyDescent="0.3">
      <c r="A7" s="4"/>
      <c r="B7" s="4"/>
      <c r="C7" s="4"/>
      <c r="D7" s="4"/>
      <c r="E7" s="4"/>
      <c r="F7" s="4"/>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A9" s="4"/>
      <c r="B9" s="4"/>
      <c r="C9" s="4"/>
      <c r="D9" s="4"/>
      <c r="E9" s="4"/>
      <c r="F9" s="4"/>
      <c r="G9" s="4"/>
      <c r="H9" s="4"/>
      <c r="I9" s="4"/>
      <c r="J9" s="4"/>
      <c r="K9" s="4"/>
      <c r="L9" s="4"/>
      <c r="M9" s="4"/>
      <c r="N9" s="4"/>
      <c r="O9" s="4"/>
    </row>
    <row r="10" spans="1:15" x14ac:dyDescent="0.3">
      <c r="A10" s="4"/>
      <c r="B10" s="4"/>
      <c r="C10" s="4"/>
      <c r="D10" s="4"/>
      <c r="E10" s="4"/>
      <c r="F10" s="4"/>
      <c r="G10" s="4"/>
      <c r="H10" s="4"/>
      <c r="I10" s="4"/>
      <c r="J10" s="4"/>
      <c r="K10" s="4"/>
      <c r="L10" s="4"/>
      <c r="M10" s="4"/>
      <c r="N10" s="4"/>
      <c r="O10" s="4"/>
    </row>
    <row r="11" spans="1:15" x14ac:dyDescent="0.3">
      <c r="A11" s="4"/>
      <c r="B11" s="4"/>
      <c r="C11" s="4"/>
      <c r="D11" s="4"/>
      <c r="E11" s="4"/>
      <c r="F11" s="4"/>
      <c r="G11" s="4"/>
      <c r="H11" s="4"/>
      <c r="I11" s="4"/>
      <c r="J11" s="4"/>
      <c r="K11" s="4"/>
      <c r="L11" s="4"/>
      <c r="M11" s="4"/>
      <c r="N11" s="4"/>
      <c r="O11" s="4"/>
    </row>
    <row r="12" spans="1:15" x14ac:dyDescent="0.3">
      <c r="A12" s="4"/>
      <c r="B12" s="4"/>
      <c r="C12" s="4"/>
      <c r="D12" s="4"/>
      <c r="E12" s="4"/>
      <c r="F12" s="4"/>
      <c r="G12" s="4"/>
      <c r="H12" s="4"/>
      <c r="I12" s="4"/>
      <c r="J12" s="4"/>
      <c r="K12" s="4"/>
      <c r="L12" s="4"/>
      <c r="M12" s="4"/>
      <c r="N12" s="4"/>
      <c r="O12" s="4"/>
    </row>
    <row r="13" spans="1:15" x14ac:dyDescent="0.3">
      <c r="A13" s="4"/>
      <c r="B13" s="4"/>
      <c r="C13" s="4"/>
      <c r="D13" s="4"/>
      <c r="E13" s="4"/>
      <c r="F13" s="4"/>
      <c r="G13" s="4"/>
      <c r="H13" s="4"/>
      <c r="I13" s="4"/>
      <c r="J13" s="4"/>
      <c r="K13" s="4"/>
      <c r="L13" s="4"/>
      <c r="M13" s="4"/>
      <c r="N13" s="4"/>
      <c r="O13" s="4"/>
    </row>
    <row r="14" spans="1:15" x14ac:dyDescent="0.3">
      <c r="A14" s="4"/>
      <c r="B14" s="4"/>
      <c r="C14" s="4"/>
      <c r="D14" s="4"/>
      <c r="E14" s="4"/>
      <c r="F14" s="4"/>
      <c r="G14" s="4"/>
      <c r="H14" s="4"/>
      <c r="I14" s="4"/>
      <c r="J14" s="4"/>
      <c r="K14" s="4"/>
      <c r="L14" s="4"/>
      <c r="M14" s="4"/>
      <c r="N14" s="4"/>
      <c r="O14" s="4"/>
    </row>
    <row r="15" spans="1:15" x14ac:dyDescent="0.3">
      <c r="A15" s="4"/>
      <c r="B15" s="4"/>
      <c r="C15" s="4"/>
      <c r="D15" s="4"/>
      <c r="E15" s="4"/>
      <c r="F15" s="4"/>
      <c r="G15" s="4"/>
      <c r="H15" s="4"/>
      <c r="I15" s="4"/>
      <c r="J15" s="4"/>
      <c r="K15" s="4"/>
      <c r="L15" s="4"/>
      <c r="M15" s="4"/>
      <c r="N15" s="4"/>
      <c r="O15" s="4"/>
    </row>
    <row r="16" spans="1:15" x14ac:dyDescent="0.3">
      <c r="A16" s="4"/>
      <c r="B16" s="4"/>
      <c r="C16" s="4"/>
      <c r="D16" s="4"/>
      <c r="E16" s="4"/>
      <c r="F16" s="4"/>
      <c r="G16" s="4"/>
      <c r="H16" s="4"/>
      <c r="I16" s="4"/>
      <c r="J16" s="4"/>
      <c r="K16" s="4"/>
      <c r="L16" s="4"/>
      <c r="M16" s="4"/>
      <c r="N16" s="4"/>
      <c r="O16" s="4"/>
    </row>
    <row r="17" spans="1:15" x14ac:dyDescent="0.3">
      <c r="A17" s="4"/>
      <c r="B17" s="4"/>
      <c r="C17" s="4"/>
      <c r="D17" s="4"/>
      <c r="E17" s="4"/>
      <c r="F17" s="4"/>
      <c r="G17" s="4"/>
      <c r="H17" s="4"/>
      <c r="I17" s="4"/>
      <c r="J17" s="4"/>
      <c r="K17" s="4"/>
      <c r="L17" s="4"/>
      <c r="M17" s="4"/>
      <c r="N17" s="4"/>
      <c r="O17" s="4"/>
    </row>
    <row r="18" spans="1:15" x14ac:dyDescent="0.3">
      <c r="A18" s="4"/>
      <c r="B18" s="4"/>
      <c r="C18" s="4"/>
      <c r="D18" s="4"/>
      <c r="E18" s="4"/>
      <c r="F18" s="4"/>
      <c r="G18" s="4"/>
      <c r="H18" s="4"/>
      <c r="I18" s="4"/>
      <c r="J18" s="4"/>
      <c r="K18" s="4"/>
      <c r="L18" s="4"/>
      <c r="M18" s="4"/>
      <c r="N18" s="4"/>
      <c r="O18" s="4"/>
    </row>
    <row r="19" spans="1:15" x14ac:dyDescent="0.3">
      <c r="A19" s="4"/>
      <c r="B19" s="4"/>
      <c r="C19" s="4"/>
      <c r="D19" s="4"/>
      <c r="E19" s="4"/>
      <c r="F19" s="4"/>
      <c r="G19" s="4"/>
      <c r="H19" s="4"/>
      <c r="I19" s="4"/>
      <c r="J19" s="4"/>
      <c r="K19" s="4"/>
      <c r="L19" s="4"/>
      <c r="M19" s="4"/>
      <c r="N19" s="4"/>
      <c r="O19" s="4"/>
    </row>
    <row r="20" spans="1:15" x14ac:dyDescent="0.3">
      <c r="A20" s="4"/>
      <c r="B20" s="4"/>
      <c r="C20" s="4"/>
      <c r="D20" s="4"/>
      <c r="E20" s="4"/>
      <c r="F20" s="4"/>
      <c r="G20" s="4"/>
      <c r="H20" s="4"/>
      <c r="I20" s="4"/>
      <c r="J20" s="4"/>
      <c r="K20" s="4"/>
      <c r="L20" s="4"/>
      <c r="M20" s="4"/>
      <c r="N20" s="4"/>
      <c r="O20" s="4"/>
    </row>
    <row r="21" spans="1:15" x14ac:dyDescent="0.3">
      <c r="A21" s="4"/>
      <c r="B21" s="4"/>
      <c r="C21" s="4"/>
      <c r="D21" s="4"/>
      <c r="E21" s="4"/>
      <c r="F21" s="4"/>
      <c r="G21" s="4"/>
      <c r="H21" s="4"/>
      <c r="I21" s="4"/>
      <c r="J21" s="4"/>
      <c r="K21" s="4"/>
      <c r="L21" s="4"/>
      <c r="M21" s="4"/>
      <c r="N21" s="4"/>
      <c r="O21" s="4"/>
    </row>
    <row r="22" spans="1:15" x14ac:dyDescent="0.3">
      <c r="A22" s="4"/>
      <c r="B22" s="4"/>
      <c r="C22" s="4"/>
      <c r="D22" s="4"/>
      <c r="E22" s="4"/>
      <c r="F22" s="4"/>
      <c r="G22" s="4"/>
      <c r="H22" s="4"/>
      <c r="I22" s="4"/>
      <c r="J22" s="4"/>
      <c r="K22" s="4"/>
      <c r="L22" s="4"/>
      <c r="M22" s="4"/>
      <c r="N22" s="4"/>
      <c r="O22" s="4"/>
    </row>
    <row r="23" spans="1:15" x14ac:dyDescent="0.3">
      <c r="A23" s="4"/>
      <c r="B23" s="4"/>
      <c r="C23" s="4"/>
      <c r="D23" s="4"/>
      <c r="E23" s="4"/>
      <c r="F23" s="4"/>
      <c r="G23" s="4"/>
      <c r="H23" s="4"/>
      <c r="I23" s="4"/>
      <c r="J23" s="4"/>
      <c r="K23" s="4"/>
      <c r="L23" s="4"/>
      <c r="M23" s="4"/>
      <c r="N23" s="4"/>
      <c r="O23" s="4"/>
    </row>
    <row r="24" spans="1:15" x14ac:dyDescent="0.3">
      <c r="A24" s="4"/>
      <c r="B24" s="4"/>
      <c r="C24" s="4"/>
      <c r="D24" s="4"/>
      <c r="E24" s="4"/>
      <c r="F24" s="4"/>
      <c r="G24" s="4"/>
      <c r="H24" s="4"/>
      <c r="I24" s="4"/>
      <c r="J24" s="4"/>
      <c r="K24" s="4"/>
      <c r="L24" s="4"/>
      <c r="M24" s="4"/>
      <c r="N24" s="4"/>
      <c r="O24" s="4"/>
    </row>
    <row r="25" spans="1:15" x14ac:dyDescent="0.3">
      <c r="A25" s="4"/>
      <c r="B25" s="4"/>
      <c r="C25" s="4"/>
      <c r="D25" s="4"/>
      <c r="E25" s="4"/>
      <c r="F25" s="4"/>
      <c r="G25" s="4"/>
      <c r="H25" s="4"/>
      <c r="I25" s="4"/>
      <c r="J25" s="4"/>
      <c r="K25" s="4"/>
      <c r="L25" s="4"/>
      <c r="M25" s="4"/>
      <c r="N25" s="4"/>
      <c r="O25" s="4"/>
    </row>
    <row r="26" spans="1:15" x14ac:dyDescent="0.3">
      <c r="A26" s="4"/>
      <c r="B26" s="4"/>
      <c r="C26" s="4"/>
      <c r="D26" s="4"/>
      <c r="E26" s="4"/>
      <c r="F26" s="4"/>
      <c r="G26" s="4"/>
      <c r="H26" s="4"/>
      <c r="I26" s="4"/>
      <c r="J26" s="4"/>
      <c r="K26" s="4"/>
      <c r="L26" s="4"/>
      <c r="M26" s="4"/>
      <c r="N26" s="4"/>
      <c r="O26"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04C1-E2E6-4A9A-9ADA-05CE2D1F6711}">
  <dimension ref="A1:N24"/>
  <sheetViews>
    <sheetView workbookViewId="0"/>
  </sheetViews>
  <sheetFormatPr defaultRowHeight="14.4" x14ac:dyDescent="0.3"/>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4A97D5E-9359-4CAB-9F1E-06F908C5F8D1}">
  <ds:schemaRefs/>
</ds:datastoreItem>
</file>

<file path=customXml/itemProps2.xml><?xml version="1.0" encoding="utf-8"?>
<ds:datastoreItem xmlns:ds="http://schemas.openxmlformats.org/officeDocument/2006/customXml" ds:itemID="{11A02D38-2467-4355-8830-089F0FCC7A91}">
  <ds:schemaRefs/>
</ds:datastoreItem>
</file>

<file path=customXml/itemProps3.xml><?xml version="1.0" encoding="utf-8"?>
<ds:datastoreItem xmlns:ds="http://schemas.openxmlformats.org/officeDocument/2006/customXml" ds:itemID="{24C15870-8013-41B6-9DED-288E9576746D}">
  <ds:schemaRefs/>
</ds:datastoreItem>
</file>

<file path=customXml/itemProps4.xml><?xml version="1.0" encoding="utf-8"?>
<ds:datastoreItem xmlns:ds="http://schemas.openxmlformats.org/officeDocument/2006/customXml" ds:itemID="{7B60549B-5805-4B1E-A69A-5A954F15D608}">
  <ds:schemaRefs/>
</ds:datastoreItem>
</file>

<file path=customXml/itemProps5.xml><?xml version="1.0" encoding="utf-8"?>
<ds:datastoreItem xmlns:ds="http://schemas.openxmlformats.org/officeDocument/2006/customXml" ds:itemID="{F2795A88-AD60-4B48-9E7C-CB1B14F5A0D9}">
  <ds:schemaRefs/>
</ds:datastoreItem>
</file>

<file path=customXml/itemProps6.xml><?xml version="1.0" encoding="utf-8"?>
<ds:datastoreItem xmlns:ds="http://schemas.openxmlformats.org/officeDocument/2006/customXml" ds:itemID="{06EBEA2A-3023-41F5-900C-226D83E4E5E3}">
  <ds:schemaRefs/>
</ds:datastoreItem>
</file>

<file path=customXml/itemProps7.xml><?xml version="1.0" encoding="utf-8"?>
<ds:datastoreItem xmlns:ds="http://schemas.openxmlformats.org/officeDocument/2006/customXml" ds:itemID="{D69913FA-DECF-456F-A0CB-29DB2B202688}">
  <ds:schemaRefs/>
</ds:datastoreItem>
</file>

<file path=customXml/itemProps8.xml><?xml version="1.0" encoding="utf-8"?>
<ds:datastoreItem xmlns:ds="http://schemas.openxmlformats.org/officeDocument/2006/customXml" ds:itemID="{5A1F13C2-3767-4EF1-A240-769FB93EDB5A}">
  <ds:schemaRefs/>
</ds:datastoreItem>
</file>

<file path=customXml/itemProps9.xml><?xml version="1.0" encoding="utf-8"?>
<ds:datastoreItem xmlns:ds="http://schemas.openxmlformats.org/officeDocument/2006/customXml" ds:itemID="{78924505-1719-4A02-864F-5F927F972072}">
  <ds:schemaRefs/>
</ds:datastoreItem>
</file>

<file path=customXml/itemProps10.xml><?xml version="1.0" encoding="utf-8"?>
<ds:datastoreItem xmlns:ds="http://schemas.openxmlformats.org/officeDocument/2006/customXml" ds:itemID="{E713D8E5-9E2D-463B-87BD-E25D483A0712}">
  <ds:schemaRefs/>
</ds:datastoreItem>
</file>

<file path=customXml/itemProps11.xml><?xml version="1.0" encoding="utf-8"?>
<ds:datastoreItem xmlns:ds="http://schemas.openxmlformats.org/officeDocument/2006/customXml" ds:itemID="{AF829224-F604-41F5-9F63-5DDCED266A71}">
  <ds:schemaRefs/>
</ds:datastoreItem>
</file>

<file path=customXml/itemProps12.xml><?xml version="1.0" encoding="utf-8"?>
<ds:datastoreItem xmlns:ds="http://schemas.openxmlformats.org/officeDocument/2006/customXml" ds:itemID="{38D17613-F874-43ED-AD8A-25EC2556C4A3}">
  <ds:schemaRefs/>
</ds:datastoreItem>
</file>

<file path=customXml/itemProps13.xml><?xml version="1.0" encoding="utf-8"?>
<ds:datastoreItem xmlns:ds="http://schemas.openxmlformats.org/officeDocument/2006/customXml" ds:itemID="{50759388-1B65-440E-84C0-C38BAAAA8962}">
  <ds:schemaRefs>
    <ds:schemaRef ds:uri="http://schemas.microsoft.com/DataMashup"/>
  </ds:schemaRefs>
</ds:datastoreItem>
</file>

<file path=customXml/itemProps14.xml><?xml version="1.0" encoding="utf-8"?>
<ds:datastoreItem xmlns:ds="http://schemas.openxmlformats.org/officeDocument/2006/customXml" ds:itemID="{7078E918-2145-4AAD-A3E9-39E722CB077B}">
  <ds:schemaRefs/>
</ds:datastoreItem>
</file>

<file path=customXml/itemProps15.xml><?xml version="1.0" encoding="utf-8"?>
<ds:datastoreItem xmlns:ds="http://schemas.openxmlformats.org/officeDocument/2006/customXml" ds:itemID="{D1CA2223-0BE1-4E16-9152-78E8A0A9C81B}">
  <ds:schemaRefs/>
</ds:datastoreItem>
</file>

<file path=customXml/itemProps16.xml><?xml version="1.0" encoding="utf-8"?>
<ds:datastoreItem xmlns:ds="http://schemas.openxmlformats.org/officeDocument/2006/customXml" ds:itemID="{F33BA47C-F4DF-435D-BC14-80AEBB7C0301}">
  <ds:schemaRefs/>
</ds:datastoreItem>
</file>

<file path=customXml/itemProps17.xml><?xml version="1.0" encoding="utf-8"?>
<ds:datastoreItem xmlns:ds="http://schemas.openxmlformats.org/officeDocument/2006/customXml" ds:itemID="{1316343C-9F8A-48A8-BFEE-B471C58023DD}">
  <ds:schemaRefs/>
</ds:datastoreItem>
</file>

<file path=customXml/itemProps18.xml><?xml version="1.0" encoding="utf-8"?>
<ds:datastoreItem xmlns:ds="http://schemas.openxmlformats.org/officeDocument/2006/customXml" ds:itemID="{8B7E9738-5832-4475-BA1C-58612AE941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Pivot Report</vt:lpstr>
      <vt:lpstr>DashBoard</vt:lpstr>
      <vt:lpstr>Daily No.Patient</vt:lpstr>
      <vt:lpstr>Satisfaction Score</vt:lpstr>
      <vt:lpstr>Average wait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Noman khan</dc:creator>
  <cp:lastModifiedBy>Noman khan</cp:lastModifiedBy>
  <dcterms:created xsi:type="dcterms:W3CDTF">2026-08-09T08:18:13Z</dcterms:created>
  <dcterms:modified xsi:type="dcterms:W3CDTF">2026-08-10T18:52:02Z</dcterms:modified>
</cp:coreProperties>
</file>